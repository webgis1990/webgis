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HP" sheetId="1" state="visible" r:id="rId3"/>
    <sheet name="Ringkasan" sheetId="2" state="visible" r:id="rId4"/>
    <sheet name="Catatan Perbaik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<sst xmlns="http://schemas.openxmlformats.org/spreadsheetml/2006/main" count="273" uniqueCount="50">
  <si>
    <t xml:space="preserve">Hitung nilai bobot kriteria (Wi)</t>
  </si>
  <si>
    <t xml:space="preserve">Normal Matriks</t>
  </si>
  <si>
    <t xml:space="preserve">RESPONDEN 1</t>
  </si>
  <si>
    <t xml:space="preserve">Guntur</t>
  </si>
  <si>
    <t xml:space="preserve">Matriks Perbandingan Berpasangan</t>
  </si>
  <si>
    <t xml:space="preserve">Geometric mean method</t>
  </si>
  <si>
    <t xml:space="preserve">Kriteria</t>
  </si>
  <si>
    <t xml:space="preserve">Legalitas</t>
  </si>
  <si>
    <t xml:space="preserve">NJOP</t>
  </si>
  <si>
    <t xml:space="preserve">Aksesibilitas</t>
  </si>
  <si>
    <t xml:space="preserve">Kesesuaian RDTR</t>
  </si>
  <si>
    <t xml:space="preserve">Penggunaan Lahan</t>
  </si>
  <si>
    <t xml:space="preserve">RATA-RATA</t>
  </si>
  <si>
    <t xml:space="preserve">Kriteria A</t>
  </si>
  <si>
    <t xml:space="preserve">Skala Penilaian</t>
  </si>
  <si>
    <t xml:space="preserve">Kriteria B</t>
  </si>
  <si>
    <t xml:space="preserve">TOTAL</t>
  </si>
  <si>
    <t xml:space="preserve">EIGEN VECTOR</t>
  </si>
  <si>
    <t xml:space="preserve">AW</t>
  </si>
  <si>
    <t xml:space="preserve">λi</t>
  </si>
  <si>
    <t xml:space="preserve">λ max</t>
  </si>
  <si>
    <t xml:space="preserve">CI</t>
  </si>
  <si>
    <t xml:space="preserve">=</t>
  </si>
  <si>
    <t xml:space="preserve">/</t>
  </si>
  <si>
    <t xml:space="preserve">RI</t>
  </si>
  <si>
    <t xml:space="preserve">CR</t>
  </si>
  <si>
    <t xml:space="preserve">CR &lt;0,1</t>
  </si>
  <si>
    <t xml:space="preserve">konsisten</t>
  </si>
  <si>
    <t xml:space="preserve">BOBOT</t>
  </si>
  <si>
    <t xml:space="preserve">RESPONDEN 2</t>
  </si>
  <si>
    <t xml:space="preserve">Saha</t>
  </si>
  <si>
    <t xml:space="preserve">RESPONDEN 3</t>
  </si>
  <si>
    <t xml:space="preserve">Yuda</t>
  </si>
  <si>
    <t xml:space="preserve">RESPONDEN 4</t>
  </si>
  <si>
    <t xml:space="preserve">Sintia</t>
  </si>
  <si>
    <t xml:space="preserve">RESPONDEN 5</t>
  </si>
  <si>
    <t xml:space="preserve">Edsa</t>
  </si>
  <si>
    <t xml:space="preserve">Bobot AHP (gabungan 5 responden, geometric mean)</t>
  </si>
  <si>
    <t xml:space="preserve">Bobot</t>
  </si>
  <si>
    <t xml:space="preserve">CR (gabungan)</t>
  </si>
  <si>
    <t xml:space="preserve">Keterangan</t>
  </si>
  <si>
    <t xml:space="preserve">Konsistensi per responden (nilai hasil hitung; RI n=5 = 1,12)</t>
  </si>
  <si>
    <t xml:space="preserve">Responden</t>
  </si>
  <si>
    <t xml:space="preserve">tidak konsisten (CR &gt; 0,1)</t>
  </si>
  <si>
    <t xml:space="preserve">Perbaikan dari file asli (sel diberi warna kuning di sheet AHP):</t>
  </si>
  <si>
    <t xml:space="preserve">1. Label hasil bobot (AC4:AC8, AJ4:AJ8, AX19:AX23) tertulis Kemiringan Lereng, Rawan Bencana, Katersediaan Air, Kondisi Drainase. Diganti menjadi Legalitas, NJOP, Aksesibilitas, Kesesuaian RDTR, Penggunaan Lahan.</t>
  </si>
  <si>
    <t xml:space="preserve">2. Rata-rata normalisasi (AP4:AP8) semula =AVERAGE(AK:AN) sehingga kolom Penggunaan Lahan (AO) tidak ikut. Diubah menjadi =AVERAGE(AK:AO).</t>
  </si>
  <si>
    <t xml:space="preserve">3. Salah ketik 'Kesesuaia RDTR' dibetulkan.</t>
  </si>
  <si>
    <t xml:space="preserve">4. Sheet Ringkasan ditambahkan: bobot akhir, CR gabungan, dan CR per responden.</t>
  </si>
  <si>
    <t xml:space="preserve">Matriks perbandingan responden dan rumus lain tidak diubah.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</si>
</sst>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theme="0" tint="-0.25"/>
        <bgColor rgb="FFCCCCFF"/>
      </patternFill>
    </fill>
    <fill>
      <patternFill patternType="solid">
        <fgColor rgb="FF92D050"/>
        <bgColor rgb="FFC5E0B4"/>
      </patternFill>
    </fill>
    <fill>
      <patternFill patternType="solid">
        <fgColor theme="9" tint="0.5999"/>
        <bgColor rgb="FFBFBFB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98"/>
  <sheetViews>
    <sheetView showFormulas="false" showGridLines="true" showRowColHeaders="true" showZeros="true" rightToLeft="false" tabSelected="true" showOutlineSymbols="true" defaultGridColor="true" view="normal" topLeftCell="AA1" colorId="64" zoomScale="50" zoomScaleNormal="50" zoomScalePageLayoutView="100" workbookViewId="0">
      <selection pane="topLeft" activeCell="AN35" activeCellId="0" sqref="AN3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3.09"/>
    <col collapsed="false" customWidth="true" hidden="false" outlineLevel="0" max="18" min="2" style="0" width="2"/>
    <col collapsed="false" customWidth="true" hidden="false" outlineLevel="0" max="19" min="19" style="0" width="19.82"/>
    <col collapsed="false" customWidth="true" hidden="false" outlineLevel="0" max="20" min="20" style="0" width="8.82"/>
    <col collapsed="false" customWidth="true" hidden="false" outlineLevel="0" max="22" min="22" style="0" width="25.91"/>
    <col collapsed="false" customWidth="true" hidden="false" outlineLevel="0" max="23" min="23" style="0" width="14.73"/>
    <col collapsed="false" customWidth="true" hidden="false" outlineLevel="0" max="25" min="25" style="0" width="15.18"/>
    <col collapsed="false" customWidth="true" hidden="false" outlineLevel="0" max="26" min="26" style="0" width="14.45"/>
    <col collapsed="false" customWidth="true" hidden="false" outlineLevel="0" max="27" min="27" style="0" width="17.09"/>
    <col collapsed="false" customWidth="true" hidden="false" outlineLevel="0" max="29" min="29" style="0" width="28.18"/>
    <col collapsed="false" customWidth="true" hidden="false" outlineLevel="0" max="32" min="32" style="0" width="11.91"/>
    <col collapsed="false" customWidth="true" hidden="false" outlineLevel="0" max="33" min="33" style="0" width="10"/>
    <col collapsed="false" customWidth="true" hidden="false" outlineLevel="0" max="34" min="34" style="0" width="12.36"/>
    <col collapsed="false" customWidth="true" hidden="false" outlineLevel="0" max="36" min="36" style="0" width="30.91"/>
    <col collapsed="false" customWidth="true" hidden="false" outlineLevel="0" max="39" min="39" style="0" width="11.27"/>
    <col collapsed="false" customWidth="true" hidden="false" outlineLevel="0" max="40" min="40" style="0" width="11.91"/>
    <col collapsed="false" customWidth="true" hidden="false" outlineLevel="0" max="41" min="41" style="0" width="11.73"/>
    <col collapsed="false" customWidth="true" hidden="false" outlineLevel="0" max="42" min="42" style="0" width="16.09"/>
    <col collapsed="false" customWidth="true" hidden="false" outlineLevel="0" max="43" min="43" style="0" width="1.73"/>
    <col collapsed="false" customWidth="true" hidden="false" outlineLevel="0" max="45" min="45" style="0" width="2.09"/>
    <col collapsed="false" customWidth="true" hidden="false" outlineLevel="0" max="47" min="47" style="0" width="2.45"/>
    <col collapsed="false" customWidth="true" hidden="false" outlineLevel="0" max="50" min="50" style="0" width="25.63"/>
    <col collapsed="false" customWidth="true" hidden="false" outlineLevel="0" max="51" min="51" style="0" width="14.18"/>
  </cols>
  <sheetData>
    <row r="1" customFormat="false" ht="14.25" hidden="false" customHeight="false" outlineLevel="0" collapsed="false">
      <c r="A1" s="1"/>
      <c r="AC1" s="2" t="s">
        <v>0</v>
      </c>
      <c r="AJ1" s="2" t="s">
        <v>1</v>
      </c>
    </row>
    <row r="2" customFormat="false" ht="14.25" hidden="false" customHeight="false" outlineLevel="0" collapsed="false">
      <c r="A2" s="1" t="s">
        <v>2</v>
      </c>
      <c r="B2" s="2" t="s">
        <v>3</v>
      </c>
      <c r="V2" s="3" t="s">
        <v>2</v>
      </c>
      <c r="W2" s="2" t="s">
        <v>4</v>
      </c>
      <c r="AC2" s="2" t="s">
        <v>5</v>
      </c>
    </row>
    <row r="3" customFormat="false" ht="28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5" t="s">
        <v>6</v>
      </c>
      <c r="W3" s="6" t="s">
        <v>7</v>
      </c>
      <c r="X3" s="6" t="s">
        <v>8</v>
      </c>
      <c r="Y3" s="6" t="s">
        <v>9</v>
      </c>
      <c r="Z3" s="7" t="s">
        <v>10</v>
      </c>
      <c r="AA3" s="6" t="s">
        <v>11</v>
      </c>
      <c r="AC3" s="8" t="s">
        <v>6</v>
      </c>
      <c r="AD3" s="9" t="s">
        <v>7</v>
      </c>
      <c r="AE3" s="9" t="s">
        <v>8</v>
      </c>
      <c r="AF3" s="9" t="s">
        <v>9</v>
      </c>
      <c r="AG3" s="10" t="s">
        <v>10</v>
      </c>
      <c r="AH3" s="9" t="s">
        <v>11</v>
      </c>
      <c r="AI3" s="11"/>
      <c r="AJ3" s="8" t="s">
        <v>6</v>
      </c>
      <c r="AK3" s="9" t="s">
        <v>7</v>
      </c>
      <c r="AL3" s="9" t="s">
        <v>8</v>
      </c>
      <c r="AM3" s="9" t="s">
        <v>9</v>
      </c>
      <c r="AN3" s="10" t="s">
        <v>10</v>
      </c>
      <c r="AO3" s="9" t="s">
        <v>11</v>
      </c>
      <c r="AP3" s="9" t="s">
        <v>12</v>
      </c>
    </row>
    <row r="4" customFormat="false" ht="14.25" hidden="false" customHeight="false" outlineLevel="0" collapsed="false">
      <c r="A4" s="12" t="s">
        <v>13</v>
      </c>
      <c r="B4" s="13" t="s">
        <v>14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2" t="s">
        <v>15</v>
      </c>
      <c r="V4" s="12" t="s">
        <v>7</v>
      </c>
      <c r="W4" s="14" t="n">
        <v>1</v>
      </c>
      <c r="X4" s="15" t="n">
        <v>7</v>
      </c>
      <c r="Y4" s="15" t="n">
        <v>7</v>
      </c>
      <c r="Z4" s="15" t="n">
        <v>5</v>
      </c>
      <c r="AA4" s="15" t="n">
        <v>9</v>
      </c>
      <c r="AC4" s="16" t="s">
        <v>7</v>
      </c>
      <c r="AD4" s="15" t="n">
        <f aca="false">(W4*W23*W43*W63*W83)^(1/5)</f>
        <v>1</v>
      </c>
      <c r="AE4" s="15" t="n">
        <f aca="false">(X4*X23*X43*X63*X83)^(1/5)</f>
        <v>3.31974025476579</v>
      </c>
      <c r="AF4" s="15" t="n">
        <f aca="false">(Y4*Y23*Y43*Y63*Y83)^(1/5)</f>
        <v>1.39325901136561</v>
      </c>
      <c r="AG4" s="15" t="n">
        <f aca="false">(Z4*Z23*Z43*Z63*Z83)^(1/5)</f>
        <v>3.08625357683187</v>
      </c>
      <c r="AH4" s="15" t="n">
        <f aca="false">(AA4*AA23*AA43*AA63*AA83)^(1/5)</f>
        <v>5.08565460921731</v>
      </c>
      <c r="AJ4" s="16" t="s">
        <v>7</v>
      </c>
      <c r="AK4" s="15" t="n">
        <f aca="false">AD4/$AD$9</f>
        <v>0.393759853393562</v>
      </c>
      <c r="AL4" s="15" t="n">
        <f aca="false">AE4/$AE$9</f>
        <v>0.292676937502869</v>
      </c>
      <c r="AM4" s="15" t="n">
        <f aca="false">AF4/$AF$9</f>
        <v>0.311010378131005</v>
      </c>
      <c r="AN4" s="15" t="n">
        <f aca="false">AG4/$AG$9</f>
        <v>0.554664473374584</v>
      </c>
      <c r="AO4" s="15" t="n">
        <f aca="false">AH4/$AH$9</f>
        <v>0.375553671406539</v>
      </c>
      <c r="AP4" s="17" t="n">
        <f aca="false">AVERAGE(AK4:AO4)</f>
        <v>0.385533062761712</v>
      </c>
    </row>
    <row r="5" customFormat="false" ht="14.25" hidden="false" customHeight="false" outlineLevel="0" collapsed="false">
      <c r="A5" s="18" t="s">
        <v>7</v>
      </c>
      <c r="B5" s="19" t="n">
        <v>9</v>
      </c>
      <c r="C5" s="19" t="n">
        <v>8</v>
      </c>
      <c r="D5" s="20" t="n">
        <v>7</v>
      </c>
      <c r="E5" s="19" t="n">
        <v>6</v>
      </c>
      <c r="F5" s="19" t="n">
        <v>5</v>
      </c>
      <c r="G5" s="19" t="n">
        <v>4</v>
      </c>
      <c r="H5" s="19" t="n">
        <v>3</v>
      </c>
      <c r="I5" s="19" t="n">
        <v>2</v>
      </c>
      <c r="J5" s="21" t="n">
        <v>1</v>
      </c>
      <c r="K5" s="19" t="n">
        <v>2</v>
      </c>
      <c r="L5" s="19" t="n">
        <v>3</v>
      </c>
      <c r="M5" s="19" t="n">
        <v>4</v>
      </c>
      <c r="N5" s="19" t="n">
        <v>5</v>
      </c>
      <c r="O5" s="19" t="n">
        <v>6</v>
      </c>
      <c r="P5" s="19" t="n">
        <v>7</v>
      </c>
      <c r="Q5" s="19" t="n">
        <v>8</v>
      </c>
      <c r="R5" s="19" t="n">
        <v>9</v>
      </c>
      <c r="S5" s="18" t="s">
        <v>8</v>
      </c>
      <c r="V5" s="12" t="s">
        <v>8</v>
      </c>
      <c r="W5" s="15" t="n">
        <f aca="false">1/X4</f>
        <v>0.142857142857143</v>
      </c>
      <c r="X5" s="14" t="n">
        <v>1</v>
      </c>
      <c r="Y5" s="15" t="n">
        <v>3</v>
      </c>
      <c r="Z5" s="15" t="n">
        <f aca="false">1/X7</f>
        <v>0.333333333333333</v>
      </c>
      <c r="AA5" s="15" t="n">
        <v>5</v>
      </c>
      <c r="AC5" s="16" t="s">
        <v>8</v>
      </c>
      <c r="AD5" s="15" t="n">
        <f aca="false">(W5*W24*W44*W64*W84)^(1/5)</f>
        <v>0.301228386336675</v>
      </c>
      <c r="AE5" s="15" t="n">
        <f aca="false">(X5*X24*X44*X64*X84)^(1/5)</f>
        <v>1</v>
      </c>
      <c r="AF5" s="15" t="n">
        <f aca="false">(Y5*Y24*Y44*Y64*Y84)^(1/5)</f>
        <v>0.556912089301439</v>
      </c>
      <c r="AG5" s="15" t="n">
        <f aca="false">(Z5*Z24*Z44*Z64*Z84)^(1/5)</f>
        <v>0.21444616361883</v>
      </c>
      <c r="AH5" s="15" t="n">
        <f aca="false">(AA5*AA24*AA44*AA64*AA84)^(1/5)</f>
        <v>1.77258720340524</v>
      </c>
      <c r="AJ5" s="16" t="s">
        <v>8</v>
      </c>
      <c r="AK5" s="15" t="n">
        <f aca="false">AD5/$AD$9</f>
        <v>0.118611645241908</v>
      </c>
      <c r="AL5" s="15" t="n">
        <f aca="false">AE5/$AE$9</f>
        <v>0.0881626016019492</v>
      </c>
      <c r="AM5" s="15" t="n">
        <f aca="false">AF5/$AF$9</f>
        <v>0.124316755223855</v>
      </c>
      <c r="AN5" s="15" t="n">
        <f aca="false">AG5/$AG$9</f>
        <v>0.0385404716267479</v>
      </c>
      <c r="AO5" s="15" t="n">
        <f aca="false">AH5/$AH$9</f>
        <v>0.130897924314515</v>
      </c>
      <c r="AP5" s="17" t="n">
        <f aca="false">AVERAGE(AK5:AO5)</f>
        <v>0.100105879601795</v>
      </c>
    </row>
    <row r="6" customFormat="false" ht="14.25" hidden="false" customHeight="false" outlineLevel="0" collapsed="false">
      <c r="A6" s="18" t="s">
        <v>7</v>
      </c>
      <c r="B6" s="19" t="n">
        <v>9</v>
      </c>
      <c r="C6" s="19" t="n">
        <v>8</v>
      </c>
      <c r="D6" s="20" t="n">
        <v>7</v>
      </c>
      <c r="E6" s="19" t="n">
        <v>6</v>
      </c>
      <c r="F6" s="19" t="n">
        <v>5</v>
      </c>
      <c r="G6" s="19" t="n">
        <v>4</v>
      </c>
      <c r="H6" s="19" t="n">
        <v>3</v>
      </c>
      <c r="I6" s="19" t="n">
        <v>2</v>
      </c>
      <c r="J6" s="21" t="n">
        <v>1</v>
      </c>
      <c r="K6" s="19" t="n">
        <v>2</v>
      </c>
      <c r="L6" s="19" t="n">
        <v>3</v>
      </c>
      <c r="M6" s="19" t="n">
        <v>4</v>
      </c>
      <c r="N6" s="19" t="n">
        <v>5</v>
      </c>
      <c r="O6" s="19" t="n">
        <v>6</v>
      </c>
      <c r="P6" s="19" t="n">
        <v>7</v>
      </c>
      <c r="Q6" s="19" t="n">
        <v>8</v>
      </c>
      <c r="R6" s="19" t="n">
        <v>9</v>
      </c>
      <c r="S6" s="18" t="s">
        <v>9</v>
      </c>
      <c r="V6" s="12" t="s">
        <v>9</v>
      </c>
      <c r="W6" s="15" t="n">
        <f aca="false">1/Y4</f>
        <v>0.142857142857143</v>
      </c>
      <c r="X6" s="15" t="n">
        <f aca="false">1/Y5</f>
        <v>0.333333333333333</v>
      </c>
      <c r="Y6" s="14" t="n">
        <v>1</v>
      </c>
      <c r="Z6" s="15" t="n">
        <v>5</v>
      </c>
      <c r="AA6" s="15" t="n">
        <v>3</v>
      </c>
      <c r="AC6" s="16" t="s">
        <v>9</v>
      </c>
      <c r="AD6" s="15" t="n">
        <f aca="false">(W6*W25*W45*W65*W85)^(1/5)</f>
        <v>0.717741634428652</v>
      </c>
      <c r="AE6" s="15" t="n">
        <f aca="false">(X6*X25*X45*X65*X85)^(1/5)</f>
        <v>1.79561553647425</v>
      </c>
      <c r="AF6" s="15" t="n">
        <f aca="false">(Y6*Y25*Y45*Y65*Y85)^(1/5)</f>
        <v>1</v>
      </c>
      <c r="AG6" s="15" t="n">
        <f aca="false">(Z6*Z25*Z45*Z65*Z85)^(1/5)</f>
        <v>1</v>
      </c>
      <c r="AH6" s="15" t="n">
        <f aca="false">(AA6*AA25*AA45*AA65*AA85)^(1/5)</f>
        <v>1.8881750225898</v>
      </c>
      <c r="AJ6" s="16" t="s">
        <v>9</v>
      </c>
      <c r="AK6" s="15" t="n">
        <f aca="false">AD6/$AD$9</f>
        <v>0.282617840747081</v>
      </c>
      <c r="AL6" s="15" t="n">
        <f aca="false">AE6/$AE$9</f>
        <v>0.15830613717245</v>
      </c>
      <c r="AM6" s="15" t="n">
        <f aca="false">AF6/$AF$9</f>
        <v>0.22322509712402</v>
      </c>
      <c r="AN6" s="15" t="n">
        <f aca="false">AG6/$AG$9</f>
        <v>0.179720965749018</v>
      </c>
      <c r="AO6" s="15" t="n">
        <f aca="false">AH6/$AH$9</f>
        <v>0.139433586525228</v>
      </c>
      <c r="AP6" s="17" t="n">
        <f aca="false">AVERAGE(AK6:AO6)</f>
        <v>0.196660725463559</v>
      </c>
    </row>
    <row r="7" customFormat="false" ht="14.25" hidden="false" customHeight="false" outlineLevel="0" collapsed="false">
      <c r="A7" s="18" t="s">
        <v>7</v>
      </c>
      <c r="B7" s="19" t="n">
        <v>9</v>
      </c>
      <c r="C7" s="19" t="n">
        <v>8</v>
      </c>
      <c r="D7" s="19" t="n">
        <v>7</v>
      </c>
      <c r="E7" s="19" t="n">
        <v>6</v>
      </c>
      <c r="F7" s="20" t="n">
        <v>5</v>
      </c>
      <c r="G7" s="19" t="n">
        <v>4</v>
      </c>
      <c r="H7" s="19" t="n">
        <v>3</v>
      </c>
      <c r="I7" s="19" t="n">
        <v>2</v>
      </c>
      <c r="J7" s="21" t="n">
        <v>1</v>
      </c>
      <c r="K7" s="19" t="n">
        <v>2</v>
      </c>
      <c r="L7" s="19" t="n">
        <v>3</v>
      </c>
      <c r="M7" s="19" t="n">
        <v>4</v>
      </c>
      <c r="N7" s="19" t="n">
        <v>5</v>
      </c>
      <c r="O7" s="19" t="n">
        <v>6</v>
      </c>
      <c r="P7" s="19" t="n">
        <v>7</v>
      </c>
      <c r="Q7" s="19" t="n">
        <v>8</v>
      </c>
      <c r="R7" s="19" t="n">
        <v>9</v>
      </c>
      <c r="S7" s="18" t="s">
        <v>10</v>
      </c>
      <c r="V7" s="12" t="s">
        <v>10</v>
      </c>
      <c r="W7" s="15" t="n">
        <f aca="false">1/Z4</f>
        <v>0.2</v>
      </c>
      <c r="X7" s="15" t="n">
        <v>3</v>
      </c>
      <c r="Y7" s="15" t="n">
        <f aca="false">1/Z6</f>
        <v>0.2</v>
      </c>
      <c r="Z7" s="14" t="n">
        <v>1</v>
      </c>
      <c r="AA7" s="15" t="n">
        <v>7</v>
      </c>
      <c r="AC7" s="16" t="s">
        <v>10</v>
      </c>
      <c r="AD7" s="15" t="n">
        <f aca="false">(W7*W26*W46*W66*W86)^(1/5)</f>
        <v>0.32401744545778</v>
      </c>
      <c r="AE7" s="15" t="n">
        <f aca="false">(X7*X26*X46*X66*X86)^(1/5)</f>
        <v>4.66317505113994</v>
      </c>
      <c r="AF7" s="15" t="n">
        <f aca="false">(Y7*Y26*Y46*Y66*Y86)^(1/5)</f>
        <v>1</v>
      </c>
      <c r="AG7" s="15" t="n">
        <f aca="false">(Z7*Z26*Z46*Z66*Z86)^(1/5)</f>
        <v>1</v>
      </c>
      <c r="AH7" s="15" t="n">
        <f aca="false">(AA7*AA26*AA46*AA66*AA86)^(1/5)</f>
        <v>3.79533497397726</v>
      </c>
      <c r="AJ7" s="16" t="s">
        <v>10</v>
      </c>
      <c r="AK7" s="15" t="n">
        <f aca="false">AD7/$AD$9</f>
        <v>0.127585061820412</v>
      </c>
      <c r="AL7" s="15" t="n">
        <f aca="false">AE7/$AE$9</f>
        <v>0.4111176442338</v>
      </c>
      <c r="AM7" s="15" t="n">
        <f aca="false">AF7/$AF$9</f>
        <v>0.22322509712402</v>
      </c>
      <c r="AN7" s="15" t="n">
        <f aca="false">AG7/$AG$9</f>
        <v>0.179720965749018</v>
      </c>
      <c r="AO7" s="15" t="n">
        <f aca="false">AH7/$AH$9</f>
        <v>0.280269128208486</v>
      </c>
      <c r="AP7" s="17" t="n">
        <f aca="false">AVERAGE(AK7:AO7)</f>
        <v>0.244383579427147</v>
      </c>
    </row>
    <row r="8" customFormat="false" ht="14.25" hidden="false" customHeight="false" outlineLevel="0" collapsed="false">
      <c r="A8" s="18" t="s">
        <v>7</v>
      </c>
      <c r="B8" s="20" t="n">
        <v>9</v>
      </c>
      <c r="C8" s="19" t="n">
        <v>8</v>
      </c>
      <c r="D8" s="19" t="n">
        <v>7</v>
      </c>
      <c r="E8" s="19" t="n">
        <v>6</v>
      </c>
      <c r="F8" s="19" t="n">
        <v>5</v>
      </c>
      <c r="G8" s="19" t="n">
        <v>4</v>
      </c>
      <c r="H8" s="19" t="n">
        <v>3</v>
      </c>
      <c r="I8" s="19" t="n">
        <v>2</v>
      </c>
      <c r="J8" s="21" t="n">
        <v>1</v>
      </c>
      <c r="K8" s="19" t="n">
        <v>2</v>
      </c>
      <c r="L8" s="19" t="n">
        <v>3</v>
      </c>
      <c r="M8" s="19" t="n">
        <v>4</v>
      </c>
      <c r="N8" s="19" t="n">
        <v>5</v>
      </c>
      <c r="O8" s="19" t="n">
        <v>6</v>
      </c>
      <c r="P8" s="19" t="n">
        <v>7</v>
      </c>
      <c r="Q8" s="19" t="n">
        <v>8</v>
      </c>
      <c r="R8" s="19" t="n">
        <v>9</v>
      </c>
      <c r="S8" s="18" t="s">
        <v>11</v>
      </c>
      <c r="V8" s="12" t="s">
        <v>11</v>
      </c>
      <c r="W8" s="15" t="n">
        <f aca="false">1/AA4</f>
        <v>0.111111111111111</v>
      </c>
      <c r="X8" s="15" t="n">
        <f aca="false">1/AA5</f>
        <v>0.2</v>
      </c>
      <c r="Y8" s="15" t="n">
        <f aca="false">1/AA6</f>
        <v>0.333333333333333</v>
      </c>
      <c r="Z8" s="15" t="n">
        <f aca="false">1/AA7</f>
        <v>0.142857142857143</v>
      </c>
      <c r="AA8" s="14" t="n">
        <v>1</v>
      </c>
      <c r="AC8" s="16" t="s">
        <v>11</v>
      </c>
      <c r="AD8" s="15" t="n">
        <f aca="false">(W8*W27*W47*W67*W87)^(1/5)</f>
        <v>0.196631520785463</v>
      </c>
      <c r="AE8" s="15" t="n">
        <f aca="false">(X8*X27*X47*X67*X87)^(1/5)</f>
        <v>0.564147139322083</v>
      </c>
      <c r="AF8" s="15" t="n">
        <f aca="false">(Y8*Y27*Y47*Y67*Y87)^(1/5)</f>
        <v>0.529611920524406</v>
      </c>
      <c r="AG8" s="15" t="n">
        <f aca="false">(Z8*Z27*Z47*Z67*Z87)^(1/5)</f>
        <v>0.263481354572523</v>
      </c>
      <c r="AH8" s="15" t="n">
        <f aca="false">(AA8*AA27*AA47*AA67*AA87)^(1/5)</f>
        <v>1</v>
      </c>
      <c r="AJ8" s="16" t="s">
        <v>11</v>
      </c>
      <c r="AK8" s="15" t="n">
        <f aca="false">AD8/$AD$9</f>
        <v>0.0774255987970371</v>
      </c>
      <c r="AL8" s="15" t="n">
        <f aca="false">AE8/$AE$9</f>
        <v>0.0497366794889321</v>
      </c>
      <c r="AM8" s="15" t="n">
        <f aca="false">AF8/$AF$9</f>
        <v>0.1182226723971</v>
      </c>
      <c r="AN8" s="15" t="n">
        <f aca="false">AG8/$AG$9</f>
        <v>0.0473531235006332</v>
      </c>
      <c r="AO8" s="15" t="n">
        <f aca="false">AH8/$AH$9</f>
        <v>0.073845689545232</v>
      </c>
      <c r="AP8" s="17" t="n">
        <f aca="false">AVERAGE(AK8:AO8)</f>
        <v>0.0733167527457868</v>
      </c>
    </row>
    <row r="9" customFormat="false" ht="14.25" hidden="false" customHeight="false" outlineLevel="0" collapsed="false">
      <c r="A9" s="18" t="s">
        <v>8</v>
      </c>
      <c r="B9" s="19" t="n">
        <v>9</v>
      </c>
      <c r="C9" s="19" t="n">
        <v>8</v>
      </c>
      <c r="D9" s="19" t="n">
        <v>7</v>
      </c>
      <c r="E9" s="19" t="n">
        <v>6</v>
      </c>
      <c r="F9" s="19" t="n">
        <v>5</v>
      </c>
      <c r="G9" s="19" t="n">
        <v>4</v>
      </c>
      <c r="H9" s="20" t="n">
        <v>3</v>
      </c>
      <c r="I9" s="19" t="n">
        <v>2</v>
      </c>
      <c r="J9" s="21" t="n">
        <v>1</v>
      </c>
      <c r="K9" s="19" t="n">
        <v>2</v>
      </c>
      <c r="L9" s="19" t="n">
        <v>3</v>
      </c>
      <c r="M9" s="19" t="n">
        <v>4</v>
      </c>
      <c r="N9" s="19" t="n">
        <v>5</v>
      </c>
      <c r="O9" s="19" t="n">
        <v>6</v>
      </c>
      <c r="P9" s="19" t="n">
        <v>7</v>
      </c>
      <c r="Q9" s="19" t="n">
        <v>8</v>
      </c>
      <c r="R9" s="19" t="n">
        <v>9</v>
      </c>
      <c r="S9" s="18" t="s">
        <v>9</v>
      </c>
      <c r="V9" s="12"/>
      <c r="W9" s="15"/>
      <c r="X9" s="15"/>
      <c r="Y9" s="15"/>
      <c r="Z9" s="15"/>
      <c r="AA9" s="15"/>
      <c r="AC9" s="12" t="s">
        <v>16</v>
      </c>
      <c r="AD9" s="15" t="n">
        <f aca="false">SUM(AD4:AD8)</f>
        <v>2.53961898700857</v>
      </c>
      <c r="AE9" s="15" t="n">
        <f aca="false">SUM(AE4:AE8)</f>
        <v>11.3426779817021</v>
      </c>
      <c r="AF9" s="15" t="n">
        <f aca="false">SUM(AF4:AF8)</f>
        <v>4.47978302119146</v>
      </c>
      <c r="AG9" s="15" t="n">
        <f aca="false">SUM(AG4:AG8)</f>
        <v>5.56418109502323</v>
      </c>
      <c r="AH9" s="15" t="n">
        <f aca="false">SUM(AH4:AH8)</f>
        <v>13.5417518091896</v>
      </c>
      <c r="AJ9" s="13" t="s">
        <v>17</v>
      </c>
      <c r="AK9" s="13"/>
      <c r="AL9" s="13"/>
      <c r="AM9" s="13"/>
      <c r="AN9" s="13"/>
      <c r="AO9" s="13"/>
      <c r="AP9" s="15" t="n">
        <f aca="false">SUM(AP4:AP8)</f>
        <v>1</v>
      </c>
    </row>
    <row r="10" customFormat="false" ht="14.25" hidden="false" customHeight="false" outlineLevel="0" collapsed="false">
      <c r="A10" s="18" t="s">
        <v>8</v>
      </c>
      <c r="B10" s="19" t="n">
        <v>9</v>
      </c>
      <c r="C10" s="19" t="n">
        <v>8</v>
      </c>
      <c r="D10" s="19" t="n">
        <v>7</v>
      </c>
      <c r="E10" s="19" t="n">
        <v>6</v>
      </c>
      <c r="F10" s="19" t="n">
        <v>5</v>
      </c>
      <c r="G10" s="19" t="n">
        <v>4</v>
      </c>
      <c r="H10" s="19" t="n">
        <v>3</v>
      </c>
      <c r="I10" s="19" t="n">
        <v>2</v>
      </c>
      <c r="J10" s="21" t="n">
        <v>1</v>
      </c>
      <c r="K10" s="19" t="n">
        <v>2</v>
      </c>
      <c r="L10" s="20" t="n">
        <v>3</v>
      </c>
      <c r="M10" s="19" t="n">
        <v>4</v>
      </c>
      <c r="N10" s="19" t="n">
        <v>5</v>
      </c>
      <c r="O10" s="19" t="n">
        <v>6</v>
      </c>
      <c r="P10" s="19" t="n">
        <v>7</v>
      </c>
      <c r="Q10" s="19" t="n">
        <v>8</v>
      </c>
      <c r="R10" s="19" t="n">
        <v>9</v>
      </c>
      <c r="S10" s="18" t="s">
        <v>10</v>
      </c>
      <c r="V10" s="22"/>
      <c r="W10" s="23"/>
      <c r="X10" s="23"/>
      <c r="Y10" s="23"/>
      <c r="Z10" s="23"/>
      <c r="AA10" s="23"/>
    </row>
    <row r="11" customFormat="false" ht="15" hidden="false" customHeight="true" outlineLevel="0" collapsed="false">
      <c r="A11" s="18" t="s">
        <v>8</v>
      </c>
      <c r="B11" s="19" t="n">
        <v>9</v>
      </c>
      <c r="C11" s="19" t="n">
        <v>8</v>
      </c>
      <c r="D11" s="19" t="n">
        <v>7</v>
      </c>
      <c r="E11" s="19" t="n">
        <v>6</v>
      </c>
      <c r="F11" s="20" t="n">
        <v>5</v>
      </c>
      <c r="G11" s="19" t="n">
        <v>4</v>
      </c>
      <c r="H11" s="19" t="n">
        <v>3</v>
      </c>
      <c r="I11" s="19" t="n">
        <v>2</v>
      </c>
      <c r="J11" s="21" t="n">
        <v>1</v>
      </c>
      <c r="K11" s="19" t="n">
        <v>2</v>
      </c>
      <c r="L11" s="19" t="n">
        <v>3</v>
      </c>
      <c r="M11" s="19" t="n">
        <v>4</v>
      </c>
      <c r="N11" s="19" t="n">
        <v>5</v>
      </c>
      <c r="O11" s="19" t="n">
        <v>6</v>
      </c>
      <c r="P11" s="19" t="n">
        <v>7</v>
      </c>
      <c r="Q11" s="19" t="n">
        <v>8</v>
      </c>
      <c r="R11" s="19" t="n">
        <v>9</v>
      </c>
      <c r="S11" s="18" t="s">
        <v>11</v>
      </c>
      <c r="AC11" s="24"/>
      <c r="AD11" s="25"/>
      <c r="AE11" s="25"/>
      <c r="AF11" s="25"/>
      <c r="AG11" s="25"/>
      <c r="AH11" s="25"/>
      <c r="AR11" s="2" t="s">
        <v>18</v>
      </c>
      <c r="AV11" s="2" t="s">
        <v>19</v>
      </c>
    </row>
    <row r="12" customFormat="false" ht="14.25" hidden="false" customHeight="false" outlineLevel="0" collapsed="false">
      <c r="A12" s="18" t="s">
        <v>9</v>
      </c>
      <c r="B12" s="19" t="n">
        <v>9</v>
      </c>
      <c r="C12" s="19" t="n">
        <v>8</v>
      </c>
      <c r="D12" s="19" t="n">
        <v>7</v>
      </c>
      <c r="E12" s="19" t="n">
        <v>6</v>
      </c>
      <c r="F12" s="20" t="n">
        <v>5</v>
      </c>
      <c r="G12" s="19" t="n">
        <v>4</v>
      </c>
      <c r="H12" s="19" t="n">
        <v>3</v>
      </c>
      <c r="I12" s="19" t="n">
        <v>2</v>
      </c>
      <c r="J12" s="21" t="n">
        <v>1</v>
      </c>
      <c r="K12" s="19" t="n">
        <v>2</v>
      </c>
      <c r="L12" s="19" t="n">
        <v>3</v>
      </c>
      <c r="M12" s="19" t="n">
        <v>4</v>
      </c>
      <c r="N12" s="19" t="n">
        <v>5</v>
      </c>
      <c r="O12" s="19" t="n">
        <v>6</v>
      </c>
      <c r="P12" s="19" t="n">
        <v>7</v>
      </c>
      <c r="Q12" s="19" t="n">
        <v>8</v>
      </c>
      <c r="R12" s="19" t="n">
        <v>9</v>
      </c>
      <c r="S12" s="18" t="s">
        <v>10</v>
      </c>
      <c r="AC12" s="24"/>
      <c r="AD12" s="26" t="n">
        <f aca="false">AD4</f>
        <v>1</v>
      </c>
      <c r="AE12" s="26" t="n">
        <f aca="false">AE4</f>
        <v>3.31974025476579</v>
      </c>
      <c r="AF12" s="26" t="n">
        <f aca="false">AF4</f>
        <v>1.39325901136561</v>
      </c>
      <c r="AG12" s="26" t="n">
        <f aca="false">AG4</f>
        <v>3.08625357683187</v>
      </c>
      <c r="AH12" s="26" t="n">
        <f aca="false">AH4</f>
        <v>5.08565460921731</v>
      </c>
      <c r="AJ12" s="26" t="n">
        <f aca="false">AP4</f>
        <v>0.385533062761712</v>
      </c>
      <c r="AL12" s="2" t="n">
        <f aca="false">AD12*$AJ$12</f>
        <v>0.385533062761712</v>
      </c>
      <c r="AM12" s="2" t="n">
        <f aca="false">AE12*$AJ$13</f>
        <v>0.332325518252816</v>
      </c>
      <c r="AN12" s="2" t="n">
        <f aca="false">AF12*$AJ$14</f>
        <v>0.273999327933802</v>
      </c>
      <c r="AO12" s="2" t="n">
        <f aca="false">AG12*$AJ$15</f>
        <v>0.754229696126009</v>
      </c>
      <c r="AP12" s="2" t="n">
        <f aca="false">AH12*$AJ$16</f>
        <v>0.372863681534456</v>
      </c>
      <c r="AR12" s="2" t="n">
        <f aca="false">SUM(AL12:AP12)</f>
        <v>2.1189512866088</v>
      </c>
      <c r="AT12" s="27" t="n">
        <f aca="false">AP4</f>
        <v>0.385533062761712</v>
      </c>
      <c r="AV12" s="2" t="n">
        <f aca="false">AR12/AT12</f>
        <v>5.49615971047979</v>
      </c>
      <c r="AX12" s="28" t="s">
        <v>20</v>
      </c>
      <c r="AY12" s="29" t="n">
        <f aca="false">AVERAGE(AV12:AV16)</f>
        <v>5.2615060801017</v>
      </c>
    </row>
    <row r="13" customFormat="false" ht="14.25" hidden="false" customHeight="false" outlineLevel="0" collapsed="false">
      <c r="A13" s="18" t="s">
        <v>9</v>
      </c>
      <c r="B13" s="19" t="n">
        <v>9</v>
      </c>
      <c r="C13" s="19" t="n">
        <v>8</v>
      </c>
      <c r="D13" s="19" t="n">
        <v>7</v>
      </c>
      <c r="E13" s="19" t="n">
        <v>6</v>
      </c>
      <c r="F13" s="19" t="n">
        <v>5</v>
      </c>
      <c r="G13" s="19" t="n">
        <v>4</v>
      </c>
      <c r="H13" s="20" t="n">
        <v>3</v>
      </c>
      <c r="I13" s="19" t="n">
        <v>2</v>
      </c>
      <c r="J13" s="21" t="n">
        <v>1</v>
      </c>
      <c r="K13" s="19" t="n">
        <v>2</v>
      </c>
      <c r="L13" s="19" t="n">
        <v>3</v>
      </c>
      <c r="M13" s="19" t="n">
        <v>4</v>
      </c>
      <c r="N13" s="19" t="n">
        <v>5</v>
      </c>
      <c r="O13" s="19" t="n">
        <v>6</v>
      </c>
      <c r="P13" s="19" t="n">
        <v>7</v>
      </c>
      <c r="Q13" s="19" t="n">
        <v>8</v>
      </c>
      <c r="R13" s="19" t="n">
        <v>9</v>
      </c>
      <c r="S13" s="18" t="s">
        <v>11</v>
      </c>
      <c r="W13" s="30"/>
      <c r="AC13" s="24"/>
      <c r="AD13" s="26" t="n">
        <f aca="false">AD5</f>
        <v>0.301228386336675</v>
      </c>
      <c r="AE13" s="26" t="n">
        <f aca="false">AE5</f>
        <v>1</v>
      </c>
      <c r="AF13" s="26" t="n">
        <f aca="false">AF5</f>
        <v>0.556912089301439</v>
      </c>
      <c r="AG13" s="26" t="n">
        <f aca="false">AG5</f>
        <v>0.21444616361883</v>
      </c>
      <c r="AH13" s="26" t="n">
        <f aca="false">AH5</f>
        <v>1.77258720340524</v>
      </c>
      <c r="AJ13" s="26" t="n">
        <f aca="false">AP5</f>
        <v>0.100105879601795</v>
      </c>
      <c r="AL13" s="2" t="n">
        <f aca="false">AD13*$AJ$12</f>
        <v>0.116133502375147</v>
      </c>
      <c r="AM13" s="2" t="n">
        <f aca="false">AE13*$AJ$13</f>
        <v>0.100105879601795</v>
      </c>
      <c r="AN13" s="2" t="n">
        <f aca="false">AF13*$AJ$14</f>
        <v>0.109522735501448</v>
      </c>
      <c r="AO13" s="2" t="n">
        <f aca="false">AG13*$AJ$15</f>
        <v>0.0524071210595892</v>
      </c>
      <c r="AP13" s="2" t="n">
        <f aca="false">AH13*$AJ$16</f>
        <v>0.129960337712408</v>
      </c>
      <c r="AR13" s="2" t="n">
        <f aca="false">SUM(AL13:AP13)</f>
        <v>0.508129576250386</v>
      </c>
      <c r="AT13" s="27" t="n">
        <f aca="false">AP5</f>
        <v>0.100105879601795</v>
      </c>
      <c r="AV13" s="2" t="n">
        <f aca="false">AR13/AT13</f>
        <v>5.07592139714114</v>
      </c>
      <c r="AX13" s="31" t="s">
        <v>21</v>
      </c>
      <c r="AY13" s="32" t="n">
        <f aca="false">(AY12-5)/(5-1)</f>
        <v>0.0653765200254259</v>
      </c>
    </row>
    <row r="14" customFormat="false" ht="14.25" hidden="false" customHeight="false" outlineLevel="0" collapsed="false">
      <c r="A14" s="18" t="s">
        <v>10</v>
      </c>
      <c r="B14" s="19" t="n">
        <v>9</v>
      </c>
      <c r="C14" s="19" t="n">
        <v>8</v>
      </c>
      <c r="D14" s="20" t="n">
        <v>7</v>
      </c>
      <c r="E14" s="19" t="n">
        <v>6</v>
      </c>
      <c r="F14" s="19" t="n">
        <v>5</v>
      </c>
      <c r="G14" s="19" t="n">
        <v>4</v>
      </c>
      <c r="H14" s="19" t="n">
        <v>3</v>
      </c>
      <c r="I14" s="19" t="n">
        <v>2</v>
      </c>
      <c r="J14" s="21" t="n">
        <v>1</v>
      </c>
      <c r="K14" s="19" t="n">
        <v>2</v>
      </c>
      <c r="L14" s="19" t="n">
        <v>3</v>
      </c>
      <c r="M14" s="19" t="n">
        <v>4</v>
      </c>
      <c r="N14" s="19" t="n">
        <v>5</v>
      </c>
      <c r="O14" s="19" t="n">
        <v>6</v>
      </c>
      <c r="P14" s="19" t="n">
        <v>7</v>
      </c>
      <c r="Q14" s="19" t="n">
        <v>8</v>
      </c>
      <c r="R14" s="19" t="n">
        <v>9</v>
      </c>
      <c r="S14" s="18" t="s">
        <v>11</v>
      </c>
      <c r="AC14" s="24"/>
      <c r="AD14" s="26" t="n">
        <f aca="false">AD6</f>
        <v>0.717741634428652</v>
      </c>
      <c r="AE14" s="26" t="n">
        <f aca="false">AE6</f>
        <v>1.79561553647425</v>
      </c>
      <c r="AF14" s="26" t="n">
        <f aca="false">AF6</f>
        <v>1</v>
      </c>
      <c r="AG14" s="26" t="n">
        <f aca="false">AG6</f>
        <v>1</v>
      </c>
      <c r="AH14" s="26" t="n">
        <f aca="false">AH6</f>
        <v>1.8881750225898</v>
      </c>
      <c r="AJ14" s="26" t="n">
        <f aca="false">AP6</f>
        <v>0.196660725463559</v>
      </c>
      <c r="AL14" s="2" t="n">
        <f aca="false">AD14*$AJ$12</f>
        <v>0.276713130592875</v>
      </c>
      <c r="AM14" s="2" t="n">
        <f aca="false">AE14*$AJ$13</f>
        <v>0.179751672705404</v>
      </c>
      <c r="AN14" s="2" t="n">
        <f aca="false">AF14*$AJ$14</f>
        <v>0.196660725463559</v>
      </c>
      <c r="AO14" s="2" t="n">
        <f aca="false">AG14*$AJ$15</f>
        <v>0.244383579427147</v>
      </c>
      <c r="AP14" s="2" t="n">
        <f aca="false">AH14*$AJ$16</f>
        <v>0.138434861271987</v>
      </c>
      <c r="AQ14" s="2" t="s">
        <v>22</v>
      </c>
      <c r="AR14" s="2" t="n">
        <f aca="false">SUM(AL14:AP14)</f>
        <v>1.03594396946097</v>
      </c>
      <c r="AS14" s="2" t="s">
        <v>23</v>
      </c>
      <c r="AT14" s="27" t="n">
        <f aca="false">AP6</f>
        <v>0.196660725463559</v>
      </c>
      <c r="AU14" s="2" t="s">
        <v>22</v>
      </c>
      <c r="AV14" s="2" t="n">
        <f aca="false">AR14/AT14</f>
        <v>5.2676708428645</v>
      </c>
      <c r="AX14" s="31" t="s">
        <v>24</v>
      </c>
      <c r="AY14" s="32" t="n">
        <v>1.12</v>
      </c>
    </row>
    <row r="15" customFormat="false" ht="14.2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/>
      <c r="M15" s="18"/>
      <c r="N15" s="18"/>
      <c r="O15" s="18"/>
      <c r="P15" s="18"/>
      <c r="Q15" s="18"/>
      <c r="R15" s="18"/>
      <c r="S15" s="18"/>
      <c r="AC15" s="24"/>
      <c r="AD15" s="26" t="n">
        <f aca="false">AD7</f>
        <v>0.32401744545778</v>
      </c>
      <c r="AE15" s="26" t="n">
        <f aca="false">AE7</f>
        <v>4.66317505113994</v>
      </c>
      <c r="AF15" s="26" t="n">
        <f aca="false">AF7</f>
        <v>1</v>
      </c>
      <c r="AG15" s="26" t="n">
        <f aca="false">AG7</f>
        <v>1</v>
      </c>
      <c r="AH15" s="26" t="n">
        <f aca="false">AH7</f>
        <v>3.79533497397726</v>
      </c>
      <c r="AJ15" s="26" t="n">
        <f aca="false">AP7</f>
        <v>0.244383579427147</v>
      </c>
      <c r="AL15" s="2" t="n">
        <f aca="false">AD15*$AJ$12</f>
        <v>0.124919438135564</v>
      </c>
      <c r="AM15" s="2" t="n">
        <f aca="false">AE15*$AJ$13</f>
        <v>0.466811240231509</v>
      </c>
      <c r="AN15" s="2" t="n">
        <f aca="false">AF15*$AJ$14</f>
        <v>0.196660725463559</v>
      </c>
      <c r="AO15" s="2" t="n">
        <f aca="false">AG15*$AJ$15</f>
        <v>0.244383579427147</v>
      </c>
      <c r="AP15" s="2" t="n">
        <f aca="false">AH15*$AJ$16</f>
        <v>0.278261635874528</v>
      </c>
      <c r="AR15" s="2" t="n">
        <f aca="false">SUM(AL15:AP15)</f>
        <v>1.31103661913231</v>
      </c>
      <c r="AT15" s="27" t="n">
        <f aca="false">AP7</f>
        <v>0.244383579427147</v>
      </c>
      <c r="AV15" s="2" t="n">
        <f aca="false">AR15/AT15</f>
        <v>5.36466738970545</v>
      </c>
      <c r="AX15" s="31" t="s">
        <v>25</v>
      </c>
      <c r="AY15" s="32" t="n">
        <f aca="false">AY13/1.12</f>
        <v>0.0583718928798446</v>
      </c>
    </row>
    <row r="16" customFormat="false" ht="1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/>
      <c r="M16" s="18"/>
      <c r="N16" s="18"/>
      <c r="O16" s="18"/>
      <c r="P16" s="18"/>
      <c r="Q16" s="18"/>
      <c r="R16" s="18"/>
      <c r="S16" s="18"/>
      <c r="AC16" s="24"/>
      <c r="AD16" s="26" t="n">
        <f aca="false">AD8</f>
        <v>0.196631520785463</v>
      </c>
      <c r="AE16" s="26" t="n">
        <f aca="false">AE8</f>
        <v>0.564147139322083</v>
      </c>
      <c r="AF16" s="26" t="n">
        <f aca="false">AF8</f>
        <v>0.529611920524406</v>
      </c>
      <c r="AG16" s="26" t="n">
        <f aca="false">AG8</f>
        <v>0.263481354572523</v>
      </c>
      <c r="AH16" s="26" t="n">
        <f aca="false">AH8</f>
        <v>1</v>
      </c>
      <c r="AJ16" s="26" t="n">
        <f aca="false">AP8</f>
        <v>0.0733167527457868</v>
      </c>
      <c r="AL16" s="2" t="n">
        <f aca="false">AD16*$AJ$12</f>
        <v>0.0758079524439129</v>
      </c>
      <c r="AM16" s="2" t="n">
        <f aca="false">AE16*$AJ$13</f>
        <v>0.0564744456066735</v>
      </c>
      <c r="AN16" s="2" t="n">
        <f aca="false">AF16*$AJ$14</f>
        <v>0.104153864504479</v>
      </c>
      <c r="AO16" s="2" t="n">
        <f aca="false">AG16*$AJ$15</f>
        <v>0.0643905165427465</v>
      </c>
      <c r="AP16" s="2" t="n">
        <f aca="false">AH16*$AJ$16</f>
        <v>0.0733167527457868</v>
      </c>
      <c r="AR16" s="2" t="n">
        <f aca="false">SUM(AL16:AP16)</f>
        <v>0.374143531843598</v>
      </c>
      <c r="AT16" s="27" t="n">
        <f aca="false">AP8</f>
        <v>0.0733167527457868</v>
      </c>
      <c r="AV16" s="2" t="n">
        <f aca="false">AR16/AT16</f>
        <v>5.10311106031764</v>
      </c>
      <c r="AX16" s="33" t="s">
        <v>26</v>
      </c>
      <c r="AY16" s="34" t="s">
        <v>27</v>
      </c>
    </row>
    <row r="17" customFormat="false" ht="14.2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/>
      <c r="M17" s="18"/>
      <c r="N17" s="18"/>
      <c r="O17" s="18"/>
      <c r="P17" s="18"/>
      <c r="Q17" s="18"/>
      <c r="R17" s="18"/>
      <c r="S17" s="18"/>
      <c r="AC17" s="24"/>
      <c r="AD17" s="26"/>
      <c r="AE17" s="26"/>
      <c r="AF17" s="26"/>
      <c r="AG17" s="26"/>
      <c r="AH17" s="26"/>
      <c r="AJ17" s="26"/>
    </row>
    <row r="18" customFormat="false" ht="14.2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/>
      <c r="M18" s="18"/>
      <c r="N18" s="18"/>
      <c r="O18" s="18"/>
      <c r="P18" s="18"/>
      <c r="Q18" s="18"/>
      <c r="R18" s="18"/>
      <c r="S18" s="18"/>
      <c r="AX18" s="35" t="s">
        <v>6</v>
      </c>
      <c r="AY18" s="35" t="s">
        <v>28</v>
      </c>
    </row>
    <row r="19" customFormat="false" ht="14.2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20"/>
      <c r="N19" s="19"/>
      <c r="O19" s="18"/>
      <c r="P19" s="18"/>
      <c r="Q19" s="18"/>
      <c r="R19" s="18"/>
      <c r="S19" s="18"/>
      <c r="AX19" s="16" t="s">
        <v>7</v>
      </c>
      <c r="AY19" s="36" t="n">
        <f aca="false">AP4</f>
        <v>0.385533062761712</v>
      </c>
    </row>
    <row r="20" customFormat="false" ht="14.25" hidden="false" customHeight="false" outlineLevel="0" collapsed="false">
      <c r="AX20" s="16" t="s">
        <v>8</v>
      </c>
      <c r="AY20" s="36" t="n">
        <f aca="false">AP5</f>
        <v>0.100105879601795</v>
      </c>
    </row>
    <row r="21" customFormat="false" ht="14.25" hidden="false" customHeight="false" outlineLevel="0" collapsed="false">
      <c r="A21" s="1" t="s">
        <v>29</v>
      </c>
      <c r="B21" s="2" t="s">
        <v>30</v>
      </c>
      <c r="V21" s="3" t="s">
        <v>29</v>
      </c>
      <c r="AX21" s="16" t="s">
        <v>9</v>
      </c>
      <c r="AY21" s="36" t="n">
        <f aca="false">AP6</f>
        <v>0.196660725463559</v>
      </c>
    </row>
    <row r="22" customFormat="false" ht="28.3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12" t="s">
        <v>6</v>
      </c>
      <c r="W22" s="37" t="s">
        <v>7</v>
      </c>
      <c r="X22" s="37" t="s">
        <v>8</v>
      </c>
      <c r="Y22" s="37" t="s">
        <v>9</v>
      </c>
      <c r="Z22" s="38" t="s">
        <v>10</v>
      </c>
      <c r="AA22" s="37" t="s">
        <v>11</v>
      </c>
      <c r="AX22" s="16" t="s">
        <v>10</v>
      </c>
      <c r="AY22" s="36" t="n">
        <f aca="false">AP7</f>
        <v>0.244383579427147</v>
      </c>
    </row>
    <row r="23" customFormat="false" ht="14.25" hidden="false" customHeight="false" outlineLevel="0" collapsed="false">
      <c r="A23" s="12" t="s">
        <v>13</v>
      </c>
      <c r="B23" s="13" t="s">
        <v>14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2" t="s">
        <v>15</v>
      </c>
      <c r="V23" s="12" t="s">
        <v>7</v>
      </c>
      <c r="W23" s="14" t="n">
        <v>1</v>
      </c>
      <c r="X23" s="15" t="n">
        <v>4</v>
      </c>
      <c r="Y23" s="15" t="n">
        <v>5</v>
      </c>
      <c r="Z23" s="15" t="n">
        <v>2</v>
      </c>
      <c r="AA23" s="15" t="n">
        <v>3</v>
      </c>
      <c r="AX23" s="16" t="s">
        <v>11</v>
      </c>
      <c r="AY23" s="36" t="n">
        <f aca="false">AP8</f>
        <v>0.0733167527457868</v>
      </c>
    </row>
    <row r="24" customFormat="false" ht="14.25" hidden="false" customHeight="false" outlineLevel="0" collapsed="false">
      <c r="A24" s="18" t="s">
        <v>7</v>
      </c>
      <c r="B24" s="19" t="n">
        <v>9</v>
      </c>
      <c r="C24" s="19" t="n">
        <v>8</v>
      </c>
      <c r="D24" s="19" t="n">
        <v>7</v>
      </c>
      <c r="E24" s="19" t="n">
        <v>6</v>
      </c>
      <c r="F24" s="19" t="n">
        <v>5</v>
      </c>
      <c r="G24" s="20" t="n">
        <v>4</v>
      </c>
      <c r="H24" s="19" t="n">
        <v>3</v>
      </c>
      <c r="I24" s="19" t="n">
        <v>2</v>
      </c>
      <c r="J24" s="21" t="n">
        <v>1</v>
      </c>
      <c r="K24" s="19" t="n">
        <v>2</v>
      </c>
      <c r="L24" s="19" t="n">
        <v>3</v>
      </c>
      <c r="M24" s="19" t="n">
        <v>4</v>
      </c>
      <c r="N24" s="19" t="n">
        <v>5</v>
      </c>
      <c r="O24" s="19" t="n">
        <v>6</v>
      </c>
      <c r="P24" s="19" t="n">
        <v>7</v>
      </c>
      <c r="Q24" s="19" t="n">
        <v>8</v>
      </c>
      <c r="R24" s="19" t="n">
        <v>9</v>
      </c>
      <c r="S24" s="18" t="s">
        <v>8</v>
      </c>
      <c r="V24" s="12" t="s">
        <v>8</v>
      </c>
      <c r="W24" s="15" t="n">
        <f aca="false">1/X23</f>
        <v>0.25</v>
      </c>
      <c r="X24" s="14" t="n">
        <v>1</v>
      </c>
      <c r="Y24" s="15" t="n">
        <v>2</v>
      </c>
      <c r="Z24" s="15" t="n">
        <f aca="false">1/X26</f>
        <v>0.333333333333333</v>
      </c>
      <c r="AA24" s="15" t="n">
        <f aca="false">1/X27</f>
        <v>0.5</v>
      </c>
      <c r="AX24" s="39" t="s">
        <v>16</v>
      </c>
      <c r="AY24" s="40" t="n">
        <f aca="false">SUM(AY19:AY23)</f>
        <v>1</v>
      </c>
    </row>
    <row r="25" customFormat="false" ht="14.25" hidden="false" customHeight="false" outlineLevel="0" collapsed="false">
      <c r="A25" s="18" t="s">
        <v>7</v>
      </c>
      <c r="B25" s="19" t="n">
        <v>9</v>
      </c>
      <c r="C25" s="19" t="n">
        <v>8</v>
      </c>
      <c r="D25" s="19" t="n">
        <v>7</v>
      </c>
      <c r="E25" s="19" t="n">
        <v>6</v>
      </c>
      <c r="F25" s="20" t="n">
        <v>5</v>
      </c>
      <c r="G25" s="19" t="n">
        <v>4</v>
      </c>
      <c r="H25" s="19" t="n">
        <v>3</v>
      </c>
      <c r="I25" s="19" t="n">
        <v>2</v>
      </c>
      <c r="J25" s="21" t="n">
        <v>1</v>
      </c>
      <c r="K25" s="19" t="n">
        <v>2</v>
      </c>
      <c r="L25" s="19" t="n">
        <v>3</v>
      </c>
      <c r="M25" s="19" t="n">
        <v>4</v>
      </c>
      <c r="N25" s="19" t="n">
        <v>5</v>
      </c>
      <c r="O25" s="19" t="n">
        <v>6</v>
      </c>
      <c r="P25" s="19" t="n">
        <v>7</v>
      </c>
      <c r="Q25" s="19" t="n">
        <v>8</v>
      </c>
      <c r="R25" s="19" t="n">
        <v>9</v>
      </c>
      <c r="S25" s="18" t="s">
        <v>9</v>
      </c>
      <c r="V25" s="12" t="s">
        <v>9</v>
      </c>
      <c r="W25" s="15" t="n">
        <f aca="false">1/Y23</f>
        <v>0.2</v>
      </c>
      <c r="X25" s="15" t="n">
        <f aca="false">1/Y24</f>
        <v>0.5</v>
      </c>
      <c r="Y25" s="14" t="n">
        <v>1</v>
      </c>
      <c r="Z25" s="15" t="n">
        <f aca="false">1/Y26</f>
        <v>0.25</v>
      </c>
      <c r="AA25" s="15" t="n">
        <f aca="false">1/Y27</f>
        <v>0.333333333333333</v>
      </c>
    </row>
    <row r="26" customFormat="false" ht="14.25" hidden="false" customHeight="false" outlineLevel="0" collapsed="false">
      <c r="A26" s="18" t="s">
        <v>7</v>
      </c>
      <c r="B26" s="19" t="n">
        <v>9</v>
      </c>
      <c r="C26" s="19" t="n">
        <v>8</v>
      </c>
      <c r="D26" s="19" t="n">
        <v>7</v>
      </c>
      <c r="E26" s="19" t="n">
        <v>6</v>
      </c>
      <c r="F26" s="19" t="n">
        <v>5</v>
      </c>
      <c r="G26" s="19" t="n">
        <v>4</v>
      </c>
      <c r="H26" s="19" t="n">
        <v>3</v>
      </c>
      <c r="I26" s="20" t="n">
        <v>2</v>
      </c>
      <c r="J26" s="21" t="n">
        <v>1</v>
      </c>
      <c r="K26" s="19" t="n">
        <v>2</v>
      </c>
      <c r="L26" s="19" t="n">
        <v>3</v>
      </c>
      <c r="M26" s="19" t="n">
        <v>4</v>
      </c>
      <c r="N26" s="19" t="n">
        <v>5</v>
      </c>
      <c r="O26" s="19" t="n">
        <v>6</v>
      </c>
      <c r="P26" s="19" t="n">
        <v>7</v>
      </c>
      <c r="Q26" s="19" t="n">
        <v>8</v>
      </c>
      <c r="R26" s="19" t="n">
        <v>9</v>
      </c>
      <c r="S26" s="18" t="s">
        <v>10</v>
      </c>
      <c r="V26" s="12" t="s">
        <v>10</v>
      </c>
      <c r="W26" s="15" t="n">
        <f aca="false">1/Z23</f>
        <v>0.5</v>
      </c>
      <c r="X26" s="15" t="n">
        <v>3</v>
      </c>
      <c r="Y26" s="15" t="n">
        <v>4</v>
      </c>
      <c r="Z26" s="14" t="n">
        <v>1</v>
      </c>
      <c r="AA26" s="15" t="n">
        <f aca="false">1/Z27</f>
        <v>0.5</v>
      </c>
    </row>
    <row r="27" customFormat="false" ht="14.25" hidden="false" customHeight="false" outlineLevel="0" collapsed="false">
      <c r="A27" s="18" t="s">
        <v>7</v>
      </c>
      <c r="B27" s="19" t="n">
        <v>9</v>
      </c>
      <c r="C27" s="19" t="n">
        <v>8</v>
      </c>
      <c r="D27" s="19" t="n">
        <v>7</v>
      </c>
      <c r="E27" s="19" t="n">
        <v>6</v>
      </c>
      <c r="F27" s="19" t="n">
        <v>5</v>
      </c>
      <c r="G27" s="19" t="n">
        <v>4</v>
      </c>
      <c r="H27" s="20" t="n">
        <v>3</v>
      </c>
      <c r="I27" s="19" t="n">
        <v>2</v>
      </c>
      <c r="J27" s="21" t="n">
        <v>1</v>
      </c>
      <c r="K27" s="19" t="n">
        <v>2</v>
      </c>
      <c r="L27" s="19" t="n">
        <v>3</v>
      </c>
      <c r="M27" s="19" t="n">
        <v>4</v>
      </c>
      <c r="N27" s="19" t="n">
        <v>5</v>
      </c>
      <c r="O27" s="19" t="n">
        <v>6</v>
      </c>
      <c r="P27" s="19" t="n">
        <v>7</v>
      </c>
      <c r="Q27" s="19" t="n">
        <v>8</v>
      </c>
      <c r="R27" s="19" t="n">
        <v>9</v>
      </c>
      <c r="S27" s="18" t="s">
        <v>11</v>
      </c>
      <c r="V27" s="12" t="s">
        <v>11</v>
      </c>
      <c r="W27" s="15" t="n">
        <f aca="false">1/AA23</f>
        <v>0.333333333333333</v>
      </c>
      <c r="X27" s="15" t="n">
        <v>2</v>
      </c>
      <c r="Y27" s="15" t="n">
        <v>3</v>
      </c>
      <c r="Z27" s="15" t="n">
        <v>2</v>
      </c>
      <c r="AA27" s="14" t="n">
        <v>1</v>
      </c>
    </row>
    <row r="28" customFormat="false" ht="14.25" hidden="false" customHeight="false" outlineLevel="0" collapsed="false">
      <c r="A28" s="18" t="s">
        <v>8</v>
      </c>
      <c r="B28" s="19" t="n">
        <v>9</v>
      </c>
      <c r="C28" s="19" t="n">
        <v>8</v>
      </c>
      <c r="D28" s="19" t="n">
        <v>7</v>
      </c>
      <c r="E28" s="19" t="n">
        <v>6</v>
      </c>
      <c r="F28" s="19" t="n">
        <v>5</v>
      </c>
      <c r="G28" s="19" t="n">
        <v>4</v>
      </c>
      <c r="H28" s="19" t="n">
        <v>3</v>
      </c>
      <c r="I28" s="20" t="n">
        <v>2</v>
      </c>
      <c r="J28" s="21" t="n">
        <v>1</v>
      </c>
      <c r="K28" s="19" t="n">
        <v>2</v>
      </c>
      <c r="L28" s="19" t="n">
        <v>3</v>
      </c>
      <c r="M28" s="19" t="n">
        <v>4</v>
      </c>
      <c r="N28" s="19" t="n">
        <v>5</v>
      </c>
      <c r="O28" s="19" t="n">
        <v>6</v>
      </c>
      <c r="P28" s="19" t="n">
        <v>7</v>
      </c>
      <c r="Q28" s="19" t="n">
        <v>8</v>
      </c>
      <c r="R28" s="19" t="n">
        <v>9</v>
      </c>
      <c r="S28" s="18" t="s">
        <v>9</v>
      </c>
      <c r="V28" s="12"/>
      <c r="W28" s="15"/>
      <c r="X28" s="15"/>
      <c r="Y28" s="15"/>
      <c r="Z28" s="15"/>
      <c r="AA28" s="15"/>
    </row>
    <row r="29" customFormat="false" ht="14.25" hidden="false" customHeight="false" outlineLevel="0" collapsed="false">
      <c r="A29" s="18" t="s">
        <v>8</v>
      </c>
      <c r="B29" s="19" t="n">
        <v>9</v>
      </c>
      <c r="C29" s="19" t="n">
        <v>8</v>
      </c>
      <c r="D29" s="19" t="n">
        <v>7</v>
      </c>
      <c r="E29" s="19" t="n">
        <v>6</v>
      </c>
      <c r="F29" s="19" t="n">
        <v>5</v>
      </c>
      <c r="G29" s="19" t="n">
        <v>4</v>
      </c>
      <c r="H29" s="19" t="n">
        <v>3</v>
      </c>
      <c r="I29" s="19" t="n">
        <v>2</v>
      </c>
      <c r="J29" s="21" t="n">
        <v>1</v>
      </c>
      <c r="K29" s="19" t="n">
        <v>2</v>
      </c>
      <c r="L29" s="20" t="n">
        <v>3</v>
      </c>
      <c r="M29" s="19" t="n">
        <v>4</v>
      </c>
      <c r="N29" s="19" t="n">
        <v>5</v>
      </c>
      <c r="O29" s="19" t="n">
        <v>6</v>
      </c>
      <c r="P29" s="19" t="n">
        <v>7</v>
      </c>
      <c r="Q29" s="19" t="n">
        <v>8</v>
      </c>
      <c r="R29" s="19" t="n">
        <v>9</v>
      </c>
      <c r="S29" s="18" t="s">
        <v>10</v>
      </c>
      <c r="V29" s="22"/>
      <c r="W29" s="23"/>
      <c r="X29" s="23"/>
      <c r="Y29" s="23"/>
      <c r="Z29" s="23"/>
      <c r="AA29" s="23"/>
    </row>
    <row r="30" customFormat="false" ht="14.25" hidden="false" customHeight="false" outlineLevel="0" collapsed="false">
      <c r="A30" s="18" t="s">
        <v>8</v>
      </c>
      <c r="B30" s="19" t="n">
        <v>9</v>
      </c>
      <c r="C30" s="19" t="n">
        <v>8</v>
      </c>
      <c r="D30" s="19" t="n">
        <v>7</v>
      </c>
      <c r="E30" s="19" t="n">
        <v>6</v>
      </c>
      <c r="F30" s="19" t="n">
        <v>5</v>
      </c>
      <c r="G30" s="19" t="n">
        <v>4</v>
      </c>
      <c r="H30" s="19" t="n">
        <v>3</v>
      </c>
      <c r="I30" s="19" t="n">
        <v>2</v>
      </c>
      <c r="J30" s="21" t="n">
        <v>1</v>
      </c>
      <c r="K30" s="20" t="n">
        <v>2</v>
      </c>
      <c r="L30" s="19" t="n">
        <v>3</v>
      </c>
      <c r="M30" s="19" t="n">
        <v>4</v>
      </c>
      <c r="N30" s="19" t="n">
        <v>5</v>
      </c>
      <c r="O30" s="19" t="n">
        <v>6</v>
      </c>
      <c r="P30" s="19" t="n">
        <v>7</v>
      </c>
      <c r="Q30" s="19" t="n">
        <v>8</v>
      </c>
      <c r="R30" s="19" t="n">
        <v>9</v>
      </c>
      <c r="S30" s="18" t="s">
        <v>11</v>
      </c>
    </row>
    <row r="31" customFormat="false" ht="14.25" hidden="false" customHeight="false" outlineLevel="0" collapsed="false">
      <c r="A31" s="18" t="s">
        <v>9</v>
      </c>
      <c r="B31" s="19" t="n">
        <v>9</v>
      </c>
      <c r="C31" s="19" t="n">
        <v>8</v>
      </c>
      <c r="D31" s="19" t="n">
        <v>7</v>
      </c>
      <c r="E31" s="19" t="n">
        <v>6</v>
      </c>
      <c r="F31" s="19" t="n">
        <v>5</v>
      </c>
      <c r="G31" s="19" t="n">
        <v>4</v>
      </c>
      <c r="H31" s="19" t="n">
        <v>3</v>
      </c>
      <c r="I31" s="19" t="n">
        <v>2</v>
      </c>
      <c r="J31" s="21" t="n">
        <v>1</v>
      </c>
      <c r="K31" s="19" t="n">
        <v>2</v>
      </c>
      <c r="L31" s="19" t="n">
        <v>3</v>
      </c>
      <c r="M31" s="20" t="n">
        <v>4</v>
      </c>
      <c r="N31" s="19" t="n">
        <v>5</v>
      </c>
      <c r="O31" s="19" t="n">
        <v>6</v>
      </c>
      <c r="P31" s="19" t="n">
        <v>7</v>
      </c>
      <c r="Q31" s="19" t="n">
        <v>8</v>
      </c>
      <c r="R31" s="19" t="n">
        <v>9</v>
      </c>
      <c r="S31" s="18" t="s">
        <v>10</v>
      </c>
    </row>
    <row r="32" customFormat="false" ht="14.25" hidden="false" customHeight="false" outlineLevel="0" collapsed="false">
      <c r="A32" s="18" t="s">
        <v>9</v>
      </c>
      <c r="B32" s="19" t="n">
        <v>9</v>
      </c>
      <c r="C32" s="19" t="n">
        <v>8</v>
      </c>
      <c r="D32" s="19" t="n">
        <v>7</v>
      </c>
      <c r="E32" s="19" t="n">
        <v>6</v>
      </c>
      <c r="F32" s="19" t="n">
        <v>5</v>
      </c>
      <c r="G32" s="19" t="n">
        <v>4</v>
      </c>
      <c r="H32" s="19" t="n">
        <v>3</v>
      </c>
      <c r="I32" s="19" t="n">
        <v>2</v>
      </c>
      <c r="J32" s="21" t="n">
        <v>1</v>
      </c>
      <c r="K32" s="19" t="n">
        <v>2</v>
      </c>
      <c r="L32" s="20" t="n">
        <v>3</v>
      </c>
      <c r="M32" s="19" t="n">
        <v>4</v>
      </c>
      <c r="N32" s="19" t="n">
        <v>5</v>
      </c>
      <c r="O32" s="19" t="n">
        <v>6</v>
      </c>
      <c r="P32" s="19" t="n">
        <v>7</v>
      </c>
      <c r="Q32" s="19" t="n">
        <v>8</v>
      </c>
      <c r="R32" s="19" t="n">
        <v>9</v>
      </c>
      <c r="S32" s="18" t="s">
        <v>11</v>
      </c>
    </row>
    <row r="33" customFormat="false" ht="14.25" hidden="false" customHeight="false" outlineLevel="0" collapsed="false">
      <c r="A33" s="18" t="s">
        <v>10</v>
      </c>
      <c r="B33" s="19" t="n">
        <v>9</v>
      </c>
      <c r="C33" s="19" t="n">
        <v>8</v>
      </c>
      <c r="D33" s="19" t="n">
        <v>7</v>
      </c>
      <c r="E33" s="19" t="n">
        <v>6</v>
      </c>
      <c r="F33" s="19" t="n">
        <v>5</v>
      </c>
      <c r="G33" s="19" t="n">
        <v>4</v>
      </c>
      <c r="H33" s="19" t="n">
        <v>3</v>
      </c>
      <c r="I33" s="19" t="n">
        <v>2</v>
      </c>
      <c r="J33" s="21" t="n">
        <v>1</v>
      </c>
      <c r="K33" s="20" t="n">
        <v>2</v>
      </c>
      <c r="L33" s="19" t="n">
        <v>3</v>
      </c>
      <c r="M33" s="19" t="n">
        <v>4</v>
      </c>
      <c r="N33" s="19" t="n">
        <v>5</v>
      </c>
      <c r="O33" s="19" t="n">
        <v>6</v>
      </c>
      <c r="P33" s="19" t="n">
        <v>7</v>
      </c>
      <c r="Q33" s="19" t="n">
        <v>8</v>
      </c>
      <c r="R33" s="19" t="n">
        <v>9</v>
      </c>
      <c r="S33" s="18" t="s">
        <v>11</v>
      </c>
    </row>
    <row r="34" customFormat="false" ht="14.2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20"/>
      <c r="N34" s="18"/>
      <c r="O34" s="18"/>
      <c r="P34" s="18"/>
      <c r="Q34" s="18"/>
      <c r="R34" s="18"/>
      <c r="S34" s="18"/>
    </row>
    <row r="35" customFormat="false" ht="14.2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0"/>
      <c r="O35" s="18"/>
      <c r="P35" s="18"/>
      <c r="Q35" s="18"/>
      <c r="R35" s="18"/>
      <c r="S35" s="18"/>
    </row>
    <row r="36" customFormat="false" ht="14.2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/>
      <c r="O36" s="20"/>
      <c r="P36" s="18"/>
      <c r="Q36" s="18"/>
      <c r="R36" s="18"/>
      <c r="S36" s="18"/>
    </row>
    <row r="37" customFormat="false" ht="14.2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18"/>
      <c r="P37" s="18"/>
      <c r="Q37" s="18"/>
      <c r="R37" s="18"/>
      <c r="S37" s="18"/>
      <c r="AC37" s="41"/>
      <c r="AD37" s="41"/>
      <c r="AE37" s="42"/>
      <c r="AF37" s="42"/>
      <c r="AG37" s="42"/>
    </row>
    <row r="38" customFormat="false" ht="14.2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0"/>
      <c r="P38" s="18"/>
      <c r="Q38" s="18"/>
      <c r="R38" s="18"/>
      <c r="S38" s="18"/>
      <c r="AC38" s="43"/>
      <c r="AD38" s="43"/>
      <c r="AE38" s="44"/>
      <c r="AF38" s="45"/>
      <c r="AG38" s="43"/>
    </row>
    <row r="39" customFormat="false" ht="14.25" hidden="false" customHeight="false" outlineLevel="0" collapsed="false">
      <c r="AC39" s="46"/>
      <c r="AD39" s="46"/>
      <c r="AE39" s="47"/>
      <c r="AF39" s="46"/>
      <c r="AG39" s="46"/>
    </row>
    <row r="40" customFormat="false" ht="14.25" hidden="false" customHeight="false" outlineLevel="0" collapsed="false">
      <c r="AC40" s="46"/>
      <c r="AD40" s="46"/>
      <c r="AE40" s="47"/>
      <c r="AF40" s="46"/>
      <c r="AG40" s="46"/>
    </row>
    <row r="41" customFormat="false" ht="14.25" hidden="false" customHeight="false" outlineLevel="0" collapsed="false">
      <c r="A41" s="1" t="s">
        <v>31</v>
      </c>
      <c r="B41" s="2" t="s">
        <v>32</v>
      </c>
      <c r="V41" s="3" t="s">
        <v>31</v>
      </c>
      <c r="AC41" s="46"/>
      <c r="AD41" s="46"/>
      <c r="AE41" s="47"/>
      <c r="AF41" s="46"/>
      <c r="AG41" s="46"/>
    </row>
    <row r="42" customFormat="false" ht="28.3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V42" s="12" t="s">
        <v>6</v>
      </c>
      <c r="W42" s="37" t="s">
        <v>7</v>
      </c>
      <c r="X42" s="37" t="s">
        <v>8</v>
      </c>
      <c r="Y42" s="37" t="s">
        <v>9</v>
      </c>
      <c r="Z42" s="38" t="s">
        <v>10</v>
      </c>
      <c r="AA42" s="37" t="s">
        <v>11</v>
      </c>
      <c r="AC42" s="46"/>
      <c r="AD42" s="46"/>
      <c r="AE42" s="47"/>
      <c r="AF42" s="46"/>
      <c r="AG42" s="46"/>
    </row>
    <row r="43" customFormat="false" ht="14.25" hidden="false" customHeight="false" outlineLevel="0" collapsed="false">
      <c r="A43" s="12" t="s">
        <v>13</v>
      </c>
      <c r="B43" s="13" t="s">
        <v>14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2" t="s">
        <v>15</v>
      </c>
      <c r="V43" s="12" t="s">
        <v>7</v>
      </c>
      <c r="W43" s="14" t="n">
        <v>1</v>
      </c>
      <c r="X43" s="15" t="n">
        <v>8</v>
      </c>
      <c r="Y43" s="15" t="n">
        <v>3</v>
      </c>
      <c r="Z43" s="15" t="n">
        <v>4</v>
      </c>
      <c r="AA43" s="15" t="n">
        <v>6</v>
      </c>
      <c r="AC43" s="46"/>
      <c r="AD43" s="46"/>
      <c r="AE43" s="47"/>
      <c r="AF43" s="46"/>
      <c r="AG43" s="46"/>
    </row>
    <row r="44" customFormat="false" ht="14.25" hidden="false" customHeight="false" outlineLevel="0" collapsed="false">
      <c r="A44" s="18" t="s">
        <v>7</v>
      </c>
      <c r="B44" s="19" t="n">
        <v>9</v>
      </c>
      <c r="C44" s="20" t="n">
        <v>8</v>
      </c>
      <c r="D44" s="19" t="n">
        <v>7</v>
      </c>
      <c r="E44" s="19" t="n">
        <v>6</v>
      </c>
      <c r="F44" s="19" t="n">
        <v>5</v>
      </c>
      <c r="G44" s="19" t="n">
        <v>4</v>
      </c>
      <c r="H44" s="19" t="n">
        <v>3</v>
      </c>
      <c r="I44" s="19" t="n">
        <v>2</v>
      </c>
      <c r="J44" s="21" t="n">
        <v>1</v>
      </c>
      <c r="K44" s="19" t="n">
        <v>2</v>
      </c>
      <c r="L44" s="19" t="n">
        <v>3</v>
      </c>
      <c r="M44" s="19" t="n">
        <v>4</v>
      </c>
      <c r="N44" s="19" t="n">
        <v>5</v>
      </c>
      <c r="O44" s="19" t="n">
        <v>6</v>
      </c>
      <c r="P44" s="19" t="n">
        <v>7</v>
      </c>
      <c r="Q44" s="19" t="n">
        <v>8</v>
      </c>
      <c r="R44" s="19" t="n">
        <v>9</v>
      </c>
      <c r="S44" s="18" t="s">
        <v>8</v>
      </c>
      <c r="V44" s="12" t="s">
        <v>8</v>
      </c>
      <c r="W44" s="15" t="n">
        <f aca="false">1/X43</f>
        <v>0.125</v>
      </c>
      <c r="X44" s="14" t="n">
        <v>1</v>
      </c>
      <c r="Y44" s="15" t="n">
        <f aca="false">1/X45</f>
        <v>0.25</v>
      </c>
      <c r="Z44" s="15" t="n">
        <f aca="false">1/X46</f>
        <v>0.2</v>
      </c>
      <c r="AA44" s="15" t="n">
        <v>3</v>
      </c>
      <c r="AC44" s="46"/>
      <c r="AD44" s="46"/>
      <c r="AE44" s="47"/>
      <c r="AF44" s="46"/>
      <c r="AG44" s="46"/>
    </row>
    <row r="45" customFormat="false" ht="14.25" hidden="false" customHeight="false" outlineLevel="0" collapsed="false">
      <c r="A45" s="18" t="s">
        <v>7</v>
      </c>
      <c r="B45" s="19" t="n">
        <v>9</v>
      </c>
      <c r="C45" s="19" t="n">
        <v>8</v>
      </c>
      <c r="D45" s="19" t="n">
        <v>7</v>
      </c>
      <c r="E45" s="19" t="n">
        <v>6</v>
      </c>
      <c r="F45" s="19" t="n">
        <v>5</v>
      </c>
      <c r="G45" s="19" t="n">
        <v>4</v>
      </c>
      <c r="H45" s="20" t="n">
        <v>3</v>
      </c>
      <c r="I45" s="19" t="n">
        <v>2</v>
      </c>
      <c r="J45" s="21" t="n">
        <v>1</v>
      </c>
      <c r="K45" s="19" t="n">
        <v>2</v>
      </c>
      <c r="L45" s="19" t="n">
        <v>3</v>
      </c>
      <c r="M45" s="19" t="n">
        <v>4</v>
      </c>
      <c r="N45" s="19" t="n">
        <v>5</v>
      </c>
      <c r="O45" s="19" t="n">
        <v>6</v>
      </c>
      <c r="P45" s="19" t="n">
        <v>7</v>
      </c>
      <c r="Q45" s="19" t="n">
        <v>8</v>
      </c>
      <c r="R45" s="19" t="n">
        <v>9</v>
      </c>
      <c r="S45" s="18" t="s">
        <v>9</v>
      </c>
      <c r="V45" s="12" t="s">
        <v>9</v>
      </c>
      <c r="W45" s="15" t="n">
        <f aca="false">1/Y43</f>
        <v>0.333333333333333</v>
      </c>
      <c r="X45" s="15" t="n">
        <v>4</v>
      </c>
      <c r="Y45" s="14" t="n">
        <v>1</v>
      </c>
      <c r="Z45" s="15" t="n">
        <v>4</v>
      </c>
      <c r="AA45" s="15" t="n">
        <v>6</v>
      </c>
    </row>
    <row r="46" customFormat="false" ht="14.25" hidden="false" customHeight="false" outlineLevel="0" collapsed="false">
      <c r="A46" s="18" t="s">
        <v>7</v>
      </c>
      <c r="B46" s="19" t="n">
        <v>9</v>
      </c>
      <c r="C46" s="19" t="n">
        <v>8</v>
      </c>
      <c r="D46" s="19" t="n">
        <v>7</v>
      </c>
      <c r="E46" s="19" t="n">
        <v>6</v>
      </c>
      <c r="F46" s="19" t="n">
        <v>5</v>
      </c>
      <c r="G46" s="20" t="n">
        <v>4</v>
      </c>
      <c r="H46" s="19" t="n">
        <v>3</v>
      </c>
      <c r="I46" s="19" t="n">
        <v>2</v>
      </c>
      <c r="J46" s="21" t="n">
        <v>1</v>
      </c>
      <c r="K46" s="19" t="n">
        <v>2</v>
      </c>
      <c r="L46" s="19" t="n">
        <v>3</v>
      </c>
      <c r="M46" s="19" t="n">
        <v>4</v>
      </c>
      <c r="N46" s="19" t="n">
        <v>5</v>
      </c>
      <c r="O46" s="19" t="n">
        <v>6</v>
      </c>
      <c r="P46" s="19" t="n">
        <v>7</v>
      </c>
      <c r="Q46" s="19" t="n">
        <v>8</v>
      </c>
      <c r="R46" s="19" t="n">
        <v>9</v>
      </c>
      <c r="S46" s="18" t="s">
        <v>10</v>
      </c>
      <c r="V46" s="12" t="s">
        <v>10</v>
      </c>
      <c r="W46" s="15" t="n">
        <f aca="false">1/Z43</f>
        <v>0.25</v>
      </c>
      <c r="X46" s="15" t="n">
        <v>5</v>
      </c>
      <c r="Y46" s="15" t="n">
        <f aca="false">1/Z45</f>
        <v>0.25</v>
      </c>
      <c r="Z46" s="14" t="n">
        <v>1</v>
      </c>
      <c r="AA46" s="15" t="n">
        <v>5</v>
      </c>
    </row>
    <row r="47" customFormat="false" ht="14.25" hidden="false" customHeight="false" outlineLevel="0" collapsed="false">
      <c r="A47" s="18" t="s">
        <v>7</v>
      </c>
      <c r="B47" s="19" t="n">
        <v>9</v>
      </c>
      <c r="C47" s="19" t="n">
        <v>8</v>
      </c>
      <c r="D47" s="19" t="n">
        <v>7</v>
      </c>
      <c r="E47" s="20" t="n">
        <v>6</v>
      </c>
      <c r="F47" s="19" t="n">
        <v>5</v>
      </c>
      <c r="G47" s="19" t="n">
        <v>4</v>
      </c>
      <c r="H47" s="19" t="n">
        <v>3</v>
      </c>
      <c r="I47" s="19" t="n">
        <v>2</v>
      </c>
      <c r="J47" s="21" t="n">
        <v>1</v>
      </c>
      <c r="K47" s="19" t="n">
        <v>2</v>
      </c>
      <c r="L47" s="19" t="n">
        <v>3</v>
      </c>
      <c r="M47" s="19" t="n">
        <v>4</v>
      </c>
      <c r="N47" s="19" t="n">
        <v>5</v>
      </c>
      <c r="O47" s="19" t="n">
        <v>6</v>
      </c>
      <c r="P47" s="19" t="n">
        <v>7</v>
      </c>
      <c r="Q47" s="19" t="n">
        <v>8</v>
      </c>
      <c r="R47" s="19" t="n">
        <v>9</v>
      </c>
      <c r="S47" s="18" t="s">
        <v>11</v>
      </c>
      <c r="V47" s="12" t="s">
        <v>11</v>
      </c>
      <c r="W47" s="15" t="n">
        <f aca="false">1/AA43</f>
        <v>0.166666666666667</v>
      </c>
      <c r="X47" s="15" t="n">
        <f aca="false">1/AA44</f>
        <v>0.333333333333333</v>
      </c>
      <c r="Y47" s="15" t="n">
        <f aca="false">1/AA45</f>
        <v>0.166666666666667</v>
      </c>
      <c r="Z47" s="15" t="n">
        <f aca="false">1/AA46</f>
        <v>0.2</v>
      </c>
      <c r="AA47" s="14" t="n">
        <v>1</v>
      </c>
    </row>
    <row r="48" customFormat="false" ht="14.25" hidden="false" customHeight="false" outlineLevel="0" collapsed="false">
      <c r="A48" s="18" t="s">
        <v>8</v>
      </c>
      <c r="B48" s="19" t="n">
        <v>9</v>
      </c>
      <c r="C48" s="19" t="n">
        <v>8</v>
      </c>
      <c r="D48" s="19" t="n">
        <v>7</v>
      </c>
      <c r="E48" s="19" t="n">
        <v>6</v>
      </c>
      <c r="F48" s="19" t="n">
        <v>5</v>
      </c>
      <c r="G48" s="19" t="n">
        <v>4</v>
      </c>
      <c r="H48" s="19" t="n">
        <v>3</v>
      </c>
      <c r="I48" s="19" t="n">
        <v>2</v>
      </c>
      <c r="J48" s="21" t="n">
        <v>1</v>
      </c>
      <c r="K48" s="19" t="n">
        <v>2</v>
      </c>
      <c r="L48" s="19" t="n">
        <v>3</v>
      </c>
      <c r="M48" s="20" t="n">
        <v>4</v>
      </c>
      <c r="N48" s="19" t="n">
        <v>5</v>
      </c>
      <c r="O48" s="19" t="n">
        <v>6</v>
      </c>
      <c r="P48" s="19" t="n">
        <v>7</v>
      </c>
      <c r="Q48" s="19" t="n">
        <v>8</v>
      </c>
      <c r="R48" s="19" t="n">
        <v>9</v>
      </c>
      <c r="S48" s="18" t="s">
        <v>9</v>
      </c>
      <c r="V48" s="12"/>
      <c r="W48" s="15"/>
      <c r="X48" s="15"/>
      <c r="Y48" s="15"/>
      <c r="Z48" s="15"/>
      <c r="AA48" s="15"/>
    </row>
    <row r="49" customFormat="false" ht="14.25" hidden="false" customHeight="false" outlineLevel="0" collapsed="false">
      <c r="A49" s="18" t="s">
        <v>8</v>
      </c>
      <c r="B49" s="19" t="n">
        <v>9</v>
      </c>
      <c r="C49" s="19" t="n">
        <v>8</v>
      </c>
      <c r="D49" s="19" t="n">
        <v>7</v>
      </c>
      <c r="E49" s="19" t="n">
        <v>6</v>
      </c>
      <c r="F49" s="19" t="n">
        <v>5</v>
      </c>
      <c r="G49" s="19" t="n">
        <v>4</v>
      </c>
      <c r="H49" s="19" t="n">
        <v>3</v>
      </c>
      <c r="I49" s="19" t="n">
        <v>2</v>
      </c>
      <c r="J49" s="21" t="n">
        <v>1</v>
      </c>
      <c r="K49" s="19" t="n">
        <v>2</v>
      </c>
      <c r="L49" s="19" t="n">
        <v>3</v>
      </c>
      <c r="M49" s="19" t="n">
        <v>4</v>
      </c>
      <c r="N49" s="20" t="n">
        <v>5</v>
      </c>
      <c r="O49" s="19" t="n">
        <v>6</v>
      </c>
      <c r="P49" s="19" t="n">
        <v>7</v>
      </c>
      <c r="Q49" s="19" t="n">
        <v>8</v>
      </c>
      <c r="R49" s="19" t="n">
        <v>9</v>
      </c>
      <c r="S49" s="18" t="s">
        <v>10</v>
      </c>
      <c r="V49" s="22"/>
      <c r="W49" s="23"/>
      <c r="X49" s="23"/>
      <c r="Y49" s="23"/>
      <c r="Z49" s="23"/>
      <c r="AA49" s="23"/>
    </row>
    <row r="50" customFormat="false" ht="14.25" hidden="false" customHeight="false" outlineLevel="0" collapsed="false">
      <c r="A50" s="18" t="s">
        <v>8</v>
      </c>
      <c r="B50" s="19" t="n">
        <v>9</v>
      </c>
      <c r="C50" s="19" t="n">
        <v>8</v>
      </c>
      <c r="D50" s="19" t="n">
        <v>7</v>
      </c>
      <c r="E50" s="19" t="n">
        <v>6</v>
      </c>
      <c r="F50" s="19" t="n">
        <v>5</v>
      </c>
      <c r="G50" s="19" t="n">
        <v>4</v>
      </c>
      <c r="H50" s="20" t="n">
        <v>3</v>
      </c>
      <c r="I50" s="19" t="n">
        <v>2</v>
      </c>
      <c r="J50" s="21" t="n">
        <v>1</v>
      </c>
      <c r="K50" s="19" t="n">
        <v>2</v>
      </c>
      <c r="L50" s="19" t="n">
        <v>3</v>
      </c>
      <c r="M50" s="19" t="n">
        <v>4</v>
      </c>
      <c r="N50" s="19" t="n">
        <v>5</v>
      </c>
      <c r="O50" s="19" t="n">
        <v>6</v>
      </c>
      <c r="P50" s="19" t="n">
        <v>7</v>
      </c>
      <c r="Q50" s="19" t="n">
        <v>8</v>
      </c>
      <c r="R50" s="19" t="n">
        <v>9</v>
      </c>
      <c r="S50" s="18" t="s">
        <v>11</v>
      </c>
    </row>
    <row r="51" customFormat="false" ht="14.25" hidden="false" customHeight="false" outlineLevel="0" collapsed="false">
      <c r="A51" s="18" t="s">
        <v>9</v>
      </c>
      <c r="B51" s="19" t="n">
        <v>9</v>
      </c>
      <c r="C51" s="19" t="n">
        <v>8</v>
      </c>
      <c r="D51" s="19" t="n">
        <v>7</v>
      </c>
      <c r="E51" s="19" t="n">
        <v>6</v>
      </c>
      <c r="F51" s="19" t="n">
        <v>5</v>
      </c>
      <c r="G51" s="20" t="n">
        <v>4</v>
      </c>
      <c r="H51" s="19" t="n">
        <v>3</v>
      </c>
      <c r="I51" s="19" t="n">
        <v>2</v>
      </c>
      <c r="J51" s="21" t="n">
        <v>1</v>
      </c>
      <c r="K51" s="19" t="n">
        <v>2</v>
      </c>
      <c r="L51" s="19" t="n">
        <v>3</v>
      </c>
      <c r="M51" s="19" t="n">
        <v>4</v>
      </c>
      <c r="N51" s="19" t="n">
        <v>5</v>
      </c>
      <c r="O51" s="19" t="n">
        <v>6</v>
      </c>
      <c r="P51" s="19" t="n">
        <v>7</v>
      </c>
      <c r="Q51" s="19" t="n">
        <v>8</v>
      </c>
      <c r="R51" s="19" t="n">
        <v>9</v>
      </c>
      <c r="S51" s="18" t="s">
        <v>10</v>
      </c>
    </row>
    <row r="52" customFormat="false" ht="14.25" hidden="false" customHeight="false" outlineLevel="0" collapsed="false">
      <c r="A52" s="18" t="s">
        <v>9</v>
      </c>
      <c r="B52" s="19" t="n">
        <v>9</v>
      </c>
      <c r="C52" s="19" t="n">
        <v>8</v>
      </c>
      <c r="D52" s="19" t="n">
        <v>7</v>
      </c>
      <c r="E52" s="20" t="n">
        <v>6</v>
      </c>
      <c r="F52" s="19" t="n">
        <v>5</v>
      </c>
      <c r="G52" s="19" t="n">
        <v>4</v>
      </c>
      <c r="H52" s="19" t="n">
        <v>3</v>
      </c>
      <c r="I52" s="19" t="n">
        <v>2</v>
      </c>
      <c r="J52" s="21" t="n">
        <v>1</v>
      </c>
      <c r="K52" s="19" t="n">
        <v>2</v>
      </c>
      <c r="L52" s="19" t="n">
        <v>3</v>
      </c>
      <c r="M52" s="19" t="n">
        <v>4</v>
      </c>
      <c r="N52" s="19" t="n">
        <v>5</v>
      </c>
      <c r="O52" s="19" t="n">
        <v>6</v>
      </c>
      <c r="P52" s="19" t="n">
        <v>7</v>
      </c>
      <c r="Q52" s="19" t="n">
        <v>8</v>
      </c>
      <c r="R52" s="19" t="n">
        <v>9</v>
      </c>
      <c r="S52" s="18" t="s">
        <v>11</v>
      </c>
    </row>
    <row r="53" customFormat="false" ht="14.25" hidden="false" customHeight="false" outlineLevel="0" collapsed="false">
      <c r="A53" s="18" t="s">
        <v>10</v>
      </c>
      <c r="B53" s="19" t="n">
        <v>9</v>
      </c>
      <c r="C53" s="19" t="n">
        <v>8</v>
      </c>
      <c r="D53" s="19" t="n">
        <v>7</v>
      </c>
      <c r="E53" s="19" t="n">
        <v>6</v>
      </c>
      <c r="F53" s="20" t="n">
        <v>5</v>
      </c>
      <c r="G53" s="19" t="n">
        <v>4</v>
      </c>
      <c r="H53" s="19" t="n">
        <v>3</v>
      </c>
      <c r="I53" s="19" t="n">
        <v>2</v>
      </c>
      <c r="J53" s="21" t="n">
        <v>1</v>
      </c>
      <c r="K53" s="19" t="n">
        <v>2</v>
      </c>
      <c r="L53" s="19" t="n">
        <v>3</v>
      </c>
      <c r="M53" s="19" t="n">
        <v>4</v>
      </c>
      <c r="N53" s="19" t="n">
        <v>5</v>
      </c>
      <c r="O53" s="19" t="n">
        <v>6</v>
      </c>
      <c r="P53" s="19" t="n">
        <v>7</v>
      </c>
      <c r="Q53" s="19" t="n">
        <v>8</v>
      </c>
      <c r="R53" s="19" t="n">
        <v>9</v>
      </c>
      <c r="S53" s="18" t="s">
        <v>11</v>
      </c>
    </row>
    <row r="54" customFormat="false" ht="14.2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18"/>
      <c r="P54" s="18"/>
      <c r="Q54" s="18"/>
      <c r="R54" s="18"/>
      <c r="S54" s="18"/>
    </row>
    <row r="55" customFormat="false" ht="14.2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20"/>
      <c r="O55" s="18"/>
      <c r="P55" s="18"/>
      <c r="Q55" s="18"/>
      <c r="R55" s="18"/>
      <c r="S55" s="18"/>
    </row>
    <row r="56" customFormat="false" ht="14.2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20"/>
      <c r="N56" s="18"/>
      <c r="O56" s="18"/>
      <c r="P56" s="18"/>
      <c r="Q56" s="18"/>
      <c r="R56" s="18"/>
      <c r="S56" s="18"/>
    </row>
    <row r="57" customFormat="false" ht="14.2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0"/>
      <c r="N57" s="18"/>
      <c r="O57" s="18"/>
      <c r="P57" s="18"/>
      <c r="Q57" s="18"/>
      <c r="R57" s="18"/>
      <c r="S57" s="18"/>
    </row>
    <row r="58" customFormat="false" ht="14.2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20"/>
      <c r="O58" s="18"/>
      <c r="P58" s="18"/>
      <c r="Q58" s="18"/>
      <c r="R58" s="18"/>
      <c r="S58" s="18"/>
    </row>
    <row r="61" customFormat="false" ht="14.25" hidden="false" customHeight="false" outlineLevel="0" collapsed="false">
      <c r="A61" s="1" t="s">
        <v>33</v>
      </c>
      <c r="B61" s="2" t="s">
        <v>34</v>
      </c>
      <c r="V61" s="3" t="s">
        <v>33</v>
      </c>
    </row>
    <row r="62" customFormat="false" ht="28.3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V62" s="12" t="s">
        <v>6</v>
      </c>
      <c r="W62" s="37" t="s">
        <v>7</v>
      </c>
      <c r="X62" s="37" t="s">
        <v>8</v>
      </c>
      <c r="Y62" s="37" t="s">
        <v>9</v>
      </c>
      <c r="Z62" s="38" t="s">
        <v>10</v>
      </c>
      <c r="AA62" s="37" t="s">
        <v>11</v>
      </c>
    </row>
    <row r="63" customFormat="false" ht="14.25" hidden="false" customHeight="false" outlineLevel="0" collapsed="false">
      <c r="A63" s="12" t="s">
        <v>13</v>
      </c>
      <c r="B63" s="13" t="s">
        <v>14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2" t="s">
        <v>15</v>
      </c>
      <c r="V63" s="12" t="s">
        <v>7</v>
      </c>
      <c r="W63" s="14" t="n">
        <v>1</v>
      </c>
      <c r="X63" s="15" t="n">
        <v>9</v>
      </c>
      <c r="Y63" s="15" t="n">
        <f aca="false">1/W65</f>
        <v>0.2</v>
      </c>
      <c r="Z63" s="15" t="n">
        <v>1</v>
      </c>
      <c r="AA63" s="15" t="n">
        <v>3</v>
      </c>
    </row>
    <row r="64" customFormat="false" ht="14.25" hidden="false" customHeight="false" outlineLevel="0" collapsed="false">
      <c r="A64" s="18" t="s">
        <v>7</v>
      </c>
      <c r="B64" s="20" t="n">
        <v>9</v>
      </c>
      <c r="C64" s="19" t="n">
        <v>8</v>
      </c>
      <c r="D64" s="19" t="n">
        <v>7</v>
      </c>
      <c r="E64" s="19" t="n">
        <v>6</v>
      </c>
      <c r="F64" s="19" t="n">
        <v>5</v>
      </c>
      <c r="G64" s="19" t="n">
        <v>4</v>
      </c>
      <c r="H64" s="19" t="n">
        <v>3</v>
      </c>
      <c r="I64" s="19" t="n">
        <v>2</v>
      </c>
      <c r="J64" s="21" t="n">
        <v>1</v>
      </c>
      <c r="K64" s="19" t="n">
        <v>2</v>
      </c>
      <c r="L64" s="19" t="n">
        <v>3</v>
      </c>
      <c r="M64" s="19" t="n">
        <v>4</v>
      </c>
      <c r="N64" s="19" t="n">
        <v>5</v>
      </c>
      <c r="O64" s="19" t="n">
        <v>6</v>
      </c>
      <c r="P64" s="19" t="n">
        <v>7</v>
      </c>
      <c r="Q64" s="19" t="n">
        <v>8</v>
      </c>
      <c r="R64" s="19" t="n">
        <v>9</v>
      </c>
      <c r="S64" s="18" t="s">
        <v>8</v>
      </c>
      <c r="V64" s="12" t="s">
        <v>8</v>
      </c>
      <c r="W64" s="15" t="n">
        <f aca="false">1/9</f>
        <v>0.111111111111111</v>
      </c>
      <c r="X64" s="14" t="n">
        <v>1</v>
      </c>
      <c r="Y64" s="15" t="n">
        <f aca="false">1/X65</f>
        <v>0.25</v>
      </c>
      <c r="Z64" s="15" t="n">
        <f aca="false">1/X66</f>
        <v>0.142857142857143</v>
      </c>
      <c r="AA64" s="15" t="n">
        <f aca="false">1/X67</f>
        <v>0.333333333333333</v>
      </c>
    </row>
    <row r="65" customFormat="false" ht="14.25" hidden="false" customHeight="false" outlineLevel="0" collapsed="false">
      <c r="A65" s="18" t="s">
        <v>7</v>
      </c>
      <c r="B65" s="19" t="n">
        <v>9</v>
      </c>
      <c r="C65" s="19" t="n">
        <v>8</v>
      </c>
      <c r="D65" s="19" t="n">
        <v>7</v>
      </c>
      <c r="E65" s="19" t="n">
        <v>6</v>
      </c>
      <c r="F65" s="19" t="n">
        <v>5</v>
      </c>
      <c r="G65" s="19" t="n">
        <v>4</v>
      </c>
      <c r="H65" s="19" t="n">
        <v>3</v>
      </c>
      <c r="I65" s="19" t="n">
        <v>2</v>
      </c>
      <c r="J65" s="21" t="n">
        <v>1</v>
      </c>
      <c r="K65" s="19" t="n">
        <v>2</v>
      </c>
      <c r="L65" s="19" t="n">
        <v>3</v>
      </c>
      <c r="M65" s="19" t="n">
        <v>4</v>
      </c>
      <c r="N65" s="20" t="n">
        <v>5</v>
      </c>
      <c r="O65" s="19" t="n">
        <v>6</v>
      </c>
      <c r="P65" s="19" t="n">
        <v>7</v>
      </c>
      <c r="Q65" s="19" t="n">
        <v>8</v>
      </c>
      <c r="R65" s="19" t="n">
        <v>9</v>
      </c>
      <c r="S65" s="18" t="s">
        <v>9</v>
      </c>
      <c r="V65" s="12" t="s">
        <v>9</v>
      </c>
      <c r="W65" s="15" t="n">
        <v>5</v>
      </c>
      <c r="X65" s="15" t="n">
        <v>4</v>
      </c>
      <c r="Y65" s="14" t="n">
        <v>1</v>
      </c>
      <c r="Z65" s="15" t="n">
        <f aca="false">1/Y66</f>
        <v>0.2</v>
      </c>
      <c r="AA65" s="15" t="n">
        <v>4</v>
      </c>
    </row>
    <row r="66" customFormat="false" ht="14.25" hidden="false" customHeight="false" outlineLevel="0" collapsed="false">
      <c r="A66" s="18" t="s">
        <v>7</v>
      </c>
      <c r="B66" s="19" t="n">
        <v>9</v>
      </c>
      <c r="C66" s="19" t="n">
        <v>8</v>
      </c>
      <c r="D66" s="19" t="n">
        <v>7</v>
      </c>
      <c r="E66" s="19" t="n">
        <v>6</v>
      </c>
      <c r="F66" s="19" t="n">
        <v>5</v>
      </c>
      <c r="G66" s="19" t="n">
        <v>4</v>
      </c>
      <c r="H66" s="19" t="n">
        <v>3</v>
      </c>
      <c r="I66" s="19" t="n">
        <v>2</v>
      </c>
      <c r="J66" s="48" t="n">
        <v>1</v>
      </c>
      <c r="K66" s="19" t="n">
        <v>2</v>
      </c>
      <c r="L66" s="19" t="n">
        <v>3</v>
      </c>
      <c r="M66" s="19" t="n">
        <v>4</v>
      </c>
      <c r="N66" s="19" t="n">
        <v>5</v>
      </c>
      <c r="O66" s="19" t="n">
        <v>6</v>
      </c>
      <c r="P66" s="19" t="n">
        <v>7</v>
      </c>
      <c r="Q66" s="19" t="n">
        <v>8</v>
      </c>
      <c r="R66" s="19" t="n">
        <v>9</v>
      </c>
      <c r="S66" s="18" t="s">
        <v>10</v>
      </c>
      <c r="V66" s="12" t="s">
        <v>10</v>
      </c>
      <c r="W66" s="15" t="n">
        <v>1</v>
      </c>
      <c r="X66" s="15" t="n">
        <v>7</v>
      </c>
      <c r="Y66" s="15" t="n">
        <v>5</v>
      </c>
      <c r="Z66" s="14" t="n">
        <v>1</v>
      </c>
      <c r="AA66" s="15" t="n">
        <v>9</v>
      </c>
    </row>
    <row r="67" customFormat="false" ht="14.25" hidden="false" customHeight="false" outlineLevel="0" collapsed="false">
      <c r="A67" s="18" t="s">
        <v>7</v>
      </c>
      <c r="B67" s="19" t="n">
        <v>9</v>
      </c>
      <c r="C67" s="19" t="n">
        <v>8</v>
      </c>
      <c r="D67" s="19" t="n">
        <v>7</v>
      </c>
      <c r="E67" s="19" t="n">
        <v>6</v>
      </c>
      <c r="F67" s="19" t="n">
        <v>5</v>
      </c>
      <c r="G67" s="19" t="n">
        <v>4</v>
      </c>
      <c r="H67" s="20" t="n">
        <v>3</v>
      </c>
      <c r="I67" s="19" t="n">
        <v>2</v>
      </c>
      <c r="J67" s="21" t="n">
        <v>1</v>
      </c>
      <c r="K67" s="19" t="n">
        <v>2</v>
      </c>
      <c r="L67" s="19" t="n">
        <v>3</v>
      </c>
      <c r="M67" s="19" t="n">
        <v>4</v>
      </c>
      <c r="N67" s="19" t="n">
        <v>5</v>
      </c>
      <c r="O67" s="19" t="n">
        <v>6</v>
      </c>
      <c r="P67" s="19" t="n">
        <v>7</v>
      </c>
      <c r="Q67" s="19" t="n">
        <v>8</v>
      </c>
      <c r="R67" s="19" t="n">
        <v>9</v>
      </c>
      <c r="S67" s="18" t="s">
        <v>11</v>
      </c>
      <c r="V67" s="12" t="s">
        <v>11</v>
      </c>
      <c r="W67" s="15" t="n">
        <f aca="false">1/AA63</f>
        <v>0.333333333333333</v>
      </c>
      <c r="X67" s="15" t="n">
        <v>3</v>
      </c>
      <c r="Y67" s="15" t="n">
        <f aca="false">1/AA65</f>
        <v>0.25</v>
      </c>
      <c r="Z67" s="15" t="n">
        <f aca="false">1/AA66</f>
        <v>0.111111111111111</v>
      </c>
      <c r="AA67" s="14" t="n">
        <v>1</v>
      </c>
    </row>
    <row r="68" customFormat="false" ht="14.25" hidden="false" customHeight="false" outlineLevel="0" collapsed="false">
      <c r="A68" s="18" t="s">
        <v>8</v>
      </c>
      <c r="B68" s="19" t="n">
        <v>9</v>
      </c>
      <c r="C68" s="19" t="n">
        <v>8</v>
      </c>
      <c r="D68" s="19" t="n">
        <v>7</v>
      </c>
      <c r="E68" s="19" t="n">
        <v>6</v>
      </c>
      <c r="F68" s="19" t="n">
        <v>5</v>
      </c>
      <c r="G68" s="19" t="n">
        <v>4</v>
      </c>
      <c r="H68" s="19" t="n">
        <v>3</v>
      </c>
      <c r="I68" s="19" t="n">
        <v>2</v>
      </c>
      <c r="J68" s="21" t="n">
        <v>1</v>
      </c>
      <c r="K68" s="19" t="n">
        <v>2</v>
      </c>
      <c r="L68" s="19" t="n">
        <v>3</v>
      </c>
      <c r="M68" s="20" t="n">
        <v>4</v>
      </c>
      <c r="N68" s="19" t="n">
        <v>5</v>
      </c>
      <c r="O68" s="19" t="n">
        <v>6</v>
      </c>
      <c r="P68" s="19" t="n">
        <v>7</v>
      </c>
      <c r="Q68" s="19" t="n">
        <v>8</v>
      </c>
      <c r="R68" s="19" t="n">
        <v>9</v>
      </c>
      <c r="S68" s="18" t="s">
        <v>9</v>
      </c>
      <c r="V68" s="12"/>
      <c r="W68" s="15"/>
      <c r="X68" s="15"/>
      <c r="Y68" s="15"/>
      <c r="Z68" s="15"/>
      <c r="AA68" s="15"/>
    </row>
    <row r="69" customFormat="false" ht="14.25" hidden="false" customHeight="false" outlineLevel="0" collapsed="false">
      <c r="A69" s="18" t="s">
        <v>8</v>
      </c>
      <c r="B69" s="19" t="n">
        <v>9</v>
      </c>
      <c r="C69" s="19" t="n">
        <v>8</v>
      </c>
      <c r="D69" s="19" t="n">
        <v>7</v>
      </c>
      <c r="E69" s="19" t="n">
        <v>6</v>
      </c>
      <c r="F69" s="19" t="n">
        <v>5</v>
      </c>
      <c r="G69" s="19" t="n">
        <v>4</v>
      </c>
      <c r="H69" s="19" t="n">
        <v>3</v>
      </c>
      <c r="I69" s="19" t="n">
        <v>2</v>
      </c>
      <c r="J69" s="21" t="n">
        <v>1</v>
      </c>
      <c r="K69" s="19" t="n">
        <v>2</v>
      </c>
      <c r="L69" s="19" t="n">
        <v>3</v>
      </c>
      <c r="M69" s="19" t="n">
        <v>4</v>
      </c>
      <c r="N69" s="19" t="n">
        <v>5</v>
      </c>
      <c r="O69" s="19" t="n">
        <v>6</v>
      </c>
      <c r="P69" s="20" t="n">
        <v>7</v>
      </c>
      <c r="Q69" s="19" t="n">
        <v>8</v>
      </c>
      <c r="R69" s="19" t="n">
        <v>9</v>
      </c>
      <c r="S69" s="18" t="s">
        <v>10</v>
      </c>
      <c r="V69" s="22"/>
      <c r="W69" s="23"/>
      <c r="X69" s="23"/>
      <c r="Y69" s="23"/>
      <c r="Z69" s="23"/>
      <c r="AA69" s="23"/>
    </row>
    <row r="70" customFormat="false" ht="14.25" hidden="false" customHeight="false" outlineLevel="0" collapsed="false">
      <c r="A70" s="18" t="s">
        <v>8</v>
      </c>
      <c r="B70" s="19" t="n">
        <v>9</v>
      </c>
      <c r="C70" s="19" t="n">
        <v>8</v>
      </c>
      <c r="D70" s="19" t="n">
        <v>7</v>
      </c>
      <c r="E70" s="19" t="n">
        <v>6</v>
      </c>
      <c r="F70" s="19" t="n">
        <v>5</v>
      </c>
      <c r="G70" s="19" t="n">
        <v>4</v>
      </c>
      <c r="H70" s="19" t="n">
        <v>3</v>
      </c>
      <c r="I70" s="19" t="n">
        <v>2</v>
      </c>
      <c r="J70" s="21" t="n">
        <v>1</v>
      </c>
      <c r="K70" s="19" t="n">
        <v>2</v>
      </c>
      <c r="L70" s="20" t="n">
        <v>3</v>
      </c>
      <c r="M70" s="19" t="n">
        <v>4</v>
      </c>
      <c r="N70" s="19" t="n">
        <v>5</v>
      </c>
      <c r="O70" s="19" t="n">
        <v>6</v>
      </c>
      <c r="P70" s="19" t="n">
        <v>7</v>
      </c>
      <c r="Q70" s="19" t="n">
        <v>8</v>
      </c>
      <c r="R70" s="19" t="n">
        <v>9</v>
      </c>
      <c r="S70" s="18" t="s">
        <v>11</v>
      </c>
    </row>
    <row r="71" customFormat="false" ht="14.25" hidden="false" customHeight="false" outlineLevel="0" collapsed="false">
      <c r="A71" s="18" t="s">
        <v>9</v>
      </c>
      <c r="B71" s="19" t="n">
        <v>9</v>
      </c>
      <c r="C71" s="19" t="n">
        <v>8</v>
      </c>
      <c r="D71" s="19" t="n">
        <v>7</v>
      </c>
      <c r="E71" s="19" t="n">
        <v>6</v>
      </c>
      <c r="F71" s="19" t="n">
        <v>5</v>
      </c>
      <c r="G71" s="19" t="n">
        <v>4</v>
      </c>
      <c r="H71" s="19" t="n">
        <v>3</v>
      </c>
      <c r="I71" s="19" t="n">
        <v>2</v>
      </c>
      <c r="J71" s="21" t="n">
        <v>1</v>
      </c>
      <c r="K71" s="19" t="n">
        <v>2</v>
      </c>
      <c r="L71" s="19" t="n">
        <v>3</v>
      </c>
      <c r="M71" s="19" t="n">
        <v>4</v>
      </c>
      <c r="N71" s="20" t="n">
        <v>5</v>
      </c>
      <c r="O71" s="19" t="n">
        <v>6</v>
      </c>
      <c r="P71" s="19" t="n">
        <v>7</v>
      </c>
      <c r="Q71" s="19" t="n">
        <v>8</v>
      </c>
      <c r="R71" s="19" t="n">
        <v>9</v>
      </c>
      <c r="S71" s="18" t="s">
        <v>10</v>
      </c>
    </row>
    <row r="72" customFormat="false" ht="14.25" hidden="false" customHeight="false" outlineLevel="0" collapsed="false">
      <c r="A72" s="18" t="s">
        <v>9</v>
      </c>
      <c r="B72" s="19" t="n">
        <v>9</v>
      </c>
      <c r="C72" s="19" t="n">
        <v>8</v>
      </c>
      <c r="D72" s="19" t="n">
        <v>7</v>
      </c>
      <c r="E72" s="19" t="n">
        <v>6</v>
      </c>
      <c r="F72" s="19" t="n">
        <v>5</v>
      </c>
      <c r="G72" s="20" t="n">
        <v>4</v>
      </c>
      <c r="H72" s="19" t="n">
        <v>3</v>
      </c>
      <c r="I72" s="19" t="n">
        <v>2</v>
      </c>
      <c r="J72" s="21" t="n">
        <v>1</v>
      </c>
      <c r="K72" s="19" t="n">
        <v>2</v>
      </c>
      <c r="L72" s="19" t="n">
        <v>3</v>
      </c>
      <c r="M72" s="19" t="n">
        <v>4</v>
      </c>
      <c r="N72" s="19" t="n">
        <v>5</v>
      </c>
      <c r="O72" s="19" t="n">
        <v>6</v>
      </c>
      <c r="P72" s="19" t="n">
        <v>7</v>
      </c>
      <c r="Q72" s="19" t="n">
        <v>8</v>
      </c>
      <c r="R72" s="19" t="n">
        <v>9</v>
      </c>
      <c r="S72" s="18" t="s">
        <v>11</v>
      </c>
    </row>
    <row r="73" customFormat="false" ht="14.25" hidden="false" customHeight="false" outlineLevel="0" collapsed="false">
      <c r="A73" s="18" t="s">
        <v>10</v>
      </c>
      <c r="B73" s="20" t="n">
        <v>9</v>
      </c>
      <c r="C73" s="19" t="n">
        <v>8</v>
      </c>
      <c r="D73" s="19" t="n">
        <v>7</v>
      </c>
      <c r="E73" s="19" t="n">
        <v>6</v>
      </c>
      <c r="F73" s="19" t="n">
        <v>5</v>
      </c>
      <c r="G73" s="19" t="n">
        <v>4</v>
      </c>
      <c r="H73" s="19" t="n">
        <v>3</v>
      </c>
      <c r="I73" s="19" t="n">
        <v>2</v>
      </c>
      <c r="J73" s="21" t="n">
        <v>1</v>
      </c>
      <c r="K73" s="19" t="n">
        <v>2</v>
      </c>
      <c r="L73" s="19" t="n">
        <v>3</v>
      </c>
      <c r="M73" s="19" t="n">
        <v>4</v>
      </c>
      <c r="N73" s="19" t="n">
        <v>5</v>
      </c>
      <c r="O73" s="19" t="n">
        <v>6</v>
      </c>
      <c r="P73" s="19" t="n">
        <v>7</v>
      </c>
      <c r="Q73" s="19" t="n">
        <v>8</v>
      </c>
      <c r="R73" s="19" t="n">
        <v>9</v>
      </c>
      <c r="S73" s="18" t="s">
        <v>11</v>
      </c>
    </row>
    <row r="74" customFormat="false" ht="14.25" hidden="false" customHeight="fals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18"/>
      <c r="P74" s="18"/>
      <c r="Q74" s="18"/>
      <c r="R74" s="18"/>
      <c r="S74" s="18"/>
    </row>
    <row r="75" customFormat="false" ht="14.25" hidden="false" customHeight="fals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20"/>
      <c r="O75" s="18"/>
      <c r="P75" s="18"/>
      <c r="Q75" s="18"/>
      <c r="R75" s="18"/>
      <c r="S75" s="18"/>
    </row>
    <row r="76" customFormat="false" ht="14.25" hidden="false" customHeight="fals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20"/>
      <c r="N76" s="18"/>
      <c r="O76" s="18"/>
      <c r="P76" s="18"/>
      <c r="Q76" s="18"/>
      <c r="R76" s="18"/>
      <c r="S76" s="18"/>
    </row>
    <row r="77" customFormat="false" ht="14.25" hidden="false" customHeight="fals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20"/>
      <c r="N77" s="18"/>
      <c r="O77" s="18"/>
      <c r="P77" s="18"/>
      <c r="Q77" s="18"/>
      <c r="R77" s="18"/>
      <c r="S77" s="18"/>
    </row>
    <row r="78" customFormat="false" ht="14.25" hidden="false" customHeight="fals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0"/>
      <c r="O78" s="18"/>
      <c r="P78" s="18"/>
      <c r="Q78" s="18"/>
      <c r="R78" s="18"/>
      <c r="S78" s="18"/>
    </row>
    <row r="81" customFormat="false" ht="14.25" hidden="false" customHeight="false" outlineLevel="0" collapsed="false">
      <c r="A81" s="1" t="s">
        <v>35</v>
      </c>
      <c r="B81" s="2" t="s">
        <v>36</v>
      </c>
      <c r="V81" s="3" t="s">
        <v>35</v>
      </c>
    </row>
    <row r="82" customFormat="false" ht="28.3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V82" s="12" t="s">
        <v>6</v>
      </c>
      <c r="W82" s="37" t="s">
        <v>7</v>
      </c>
      <c r="X82" s="37" t="s">
        <v>8</v>
      </c>
      <c r="Y82" s="37" t="s">
        <v>9</v>
      </c>
      <c r="Z82" s="38" t="s">
        <v>10</v>
      </c>
      <c r="AA82" s="37" t="s">
        <v>11</v>
      </c>
    </row>
    <row r="83" customFormat="false" ht="14.25" hidden="false" customHeight="false" outlineLevel="0" collapsed="false">
      <c r="A83" s="12" t="s">
        <v>13</v>
      </c>
      <c r="B83" s="13" t="s">
        <v>14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2" t="s">
        <v>15</v>
      </c>
      <c r="V83" s="12" t="s">
        <v>7</v>
      </c>
      <c r="W83" s="14" t="n">
        <v>1</v>
      </c>
      <c r="X83" s="15" t="n">
        <f aca="false">1/W84</f>
        <v>0.2</v>
      </c>
      <c r="Y83" s="15" t="n">
        <f aca="false">1/W85</f>
        <v>0.25</v>
      </c>
      <c r="Z83" s="15" t="n">
        <v>7</v>
      </c>
      <c r="AA83" s="15" t="n">
        <v>7</v>
      </c>
    </row>
    <row r="84" customFormat="false" ht="14.25" hidden="false" customHeight="false" outlineLevel="0" collapsed="false">
      <c r="A84" s="18" t="s">
        <v>7</v>
      </c>
      <c r="B84" s="19" t="n">
        <v>9</v>
      </c>
      <c r="C84" s="19" t="n">
        <v>8</v>
      </c>
      <c r="D84" s="19" t="n">
        <v>7</v>
      </c>
      <c r="E84" s="19" t="n">
        <v>6</v>
      </c>
      <c r="F84" s="19" t="n">
        <v>5</v>
      </c>
      <c r="G84" s="19" t="n">
        <v>4</v>
      </c>
      <c r="H84" s="19" t="n">
        <v>3</v>
      </c>
      <c r="I84" s="19" t="n">
        <v>2</v>
      </c>
      <c r="J84" s="21" t="n">
        <v>1</v>
      </c>
      <c r="K84" s="19" t="n">
        <v>2</v>
      </c>
      <c r="L84" s="19" t="n">
        <v>3</v>
      </c>
      <c r="M84" s="19" t="n">
        <v>4</v>
      </c>
      <c r="N84" s="20" t="n">
        <v>5</v>
      </c>
      <c r="O84" s="19" t="n">
        <v>6</v>
      </c>
      <c r="P84" s="19" t="n">
        <v>7</v>
      </c>
      <c r="Q84" s="19" t="n">
        <v>8</v>
      </c>
      <c r="R84" s="19" t="n">
        <v>9</v>
      </c>
      <c r="S84" s="18" t="s">
        <v>8</v>
      </c>
      <c r="V84" s="12" t="s">
        <v>8</v>
      </c>
      <c r="W84" s="15" t="n">
        <v>5</v>
      </c>
      <c r="X84" s="14" t="n">
        <v>1</v>
      </c>
      <c r="Y84" s="15" t="n">
        <f aca="false">1/X85</f>
        <v>0.142857142857143</v>
      </c>
      <c r="Z84" s="15" t="n">
        <f aca="false">1/X86</f>
        <v>0.142857142857143</v>
      </c>
      <c r="AA84" s="15" t="n">
        <v>7</v>
      </c>
    </row>
    <row r="85" customFormat="false" ht="14.25" hidden="false" customHeight="false" outlineLevel="0" collapsed="false">
      <c r="A85" s="18" t="s">
        <v>7</v>
      </c>
      <c r="B85" s="19" t="n">
        <v>9</v>
      </c>
      <c r="C85" s="19" t="n">
        <v>8</v>
      </c>
      <c r="D85" s="19" t="n">
        <v>7</v>
      </c>
      <c r="E85" s="19" t="n">
        <v>6</v>
      </c>
      <c r="F85" s="19" t="n">
        <v>5</v>
      </c>
      <c r="G85" s="19" t="n">
        <v>4</v>
      </c>
      <c r="H85" s="19" t="n">
        <v>3</v>
      </c>
      <c r="I85" s="19" t="n">
        <v>2</v>
      </c>
      <c r="J85" s="21" t="n">
        <v>1</v>
      </c>
      <c r="K85" s="19" t="n">
        <v>2</v>
      </c>
      <c r="L85" s="19" t="n">
        <v>3</v>
      </c>
      <c r="M85" s="20" t="n">
        <v>4</v>
      </c>
      <c r="N85" s="19" t="n">
        <v>5</v>
      </c>
      <c r="O85" s="19" t="n">
        <v>6</v>
      </c>
      <c r="P85" s="19" t="n">
        <v>7</v>
      </c>
      <c r="Q85" s="19" t="n">
        <v>8</v>
      </c>
      <c r="R85" s="19" t="n">
        <v>9</v>
      </c>
      <c r="S85" s="18" t="s">
        <v>9</v>
      </c>
      <c r="V85" s="12" t="s">
        <v>9</v>
      </c>
      <c r="W85" s="15" t="n">
        <v>4</v>
      </c>
      <c r="X85" s="15" t="n">
        <v>7</v>
      </c>
      <c r="Y85" s="14" t="n">
        <v>1</v>
      </c>
      <c r="Z85" s="15" t="n">
        <v>1</v>
      </c>
      <c r="AA85" s="15" t="n">
        <v>1</v>
      </c>
    </row>
    <row r="86" customFormat="false" ht="14.25" hidden="false" customHeight="false" outlineLevel="0" collapsed="false">
      <c r="A86" s="18" t="s">
        <v>7</v>
      </c>
      <c r="B86" s="19" t="n">
        <v>9</v>
      </c>
      <c r="C86" s="19" t="n">
        <v>8</v>
      </c>
      <c r="D86" s="20" t="n">
        <v>7</v>
      </c>
      <c r="E86" s="19" t="n">
        <v>6</v>
      </c>
      <c r="F86" s="19" t="n">
        <v>5</v>
      </c>
      <c r="G86" s="19" t="n">
        <v>4</v>
      </c>
      <c r="H86" s="19" t="n">
        <v>3</v>
      </c>
      <c r="I86" s="19" t="n">
        <v>2</v>
      </c>
      <c r="J86" s="21" t="n">
        <v>1</v>
      </c>
      <c r="K86" s="19" t="n">
        <v>2</v>
      </c>
      <c r="L86" s="19" t="n">
        <v>3</v>
      </c>
      <c r="M86" s="19" t="n">
        <v>4</v>
      </c>
      <c r="N86" s="19" t="n">
        <v>5</v>
      </c>
      <c r="O86" s="19" t="n">
        <v>6</v>
      </c>
      <c r="P86" s="19" t="n">
        <v>7</v>
      </c>
      <c r="Q86" s="19" t="n">
        <v>8</v>
      </c>
      <c r="R86" s="19" t="n">
        <v>9</v>
      </c>
      <c r="S86" s="18" t="s">
        <v>10</v>
      </c>
      <c r="V86" s="16" t="s">
        <v>10</v>
      </c>
      <c r="W86" s="15" t="n">
        <f aca="false">1/7</f>
        <v>0.142857142857143</v>
      </c>
      <c r="X86" s="15" t="n">
        <v>7</v>
      </c>
      <c r="Y86" s="15" t="n">
        <v>1</v>
      </c>
      <c r="Z86" s="14" t="n">
        <v>1</v>
      </c>
      <c r="AA86" s="15" t="n">
        <v>5</v>
      </c>
    </row>
    <row r="87" customFormat="false" ht="14.25" hidden="false" customHeight="false" outlineLevel="0" collapsed="false">
      <c r="A87" s="18" t="s">
        <v>7</v>
      </c>
      <c r="B87" s="19" t="n">
        <v>9</v>
      </c>
      <c r="C87" s="19" t="n">
        <v>8</v>
      </c>
      <c r="D87" s="19" t="n">
        <v>7</v>
      </c>
      <c r="E87" s="19" t="n">
        <v>6</v>
      </c>
      <c r="F87" s="19" t="n">
        <v>5</v>
      </c>
      <c r="G87" s="19" t="n">
        <v>4</v>
      </c>
      <c r="H87" s="19" t="n">
        <v>3</v>
      </c>
      <c r="I87" s="19" t="n">
        <v>2</v>
      </c>
      <c r="J87" s="21" t="n">
        <v>1</v>
      </c>
      <c r="K87" s="19" t="n">
        <v>2</v>
      </c>
      <c r="L87" s="20" t="n">
        <v>3</v>
      </c>
      <c r="M87" s="19" t="n">
        <v>4</v>
      </c>
      <c r="N87" s="19" t="n">
        <v>5</v>
      </c>
      <c r="O87" s="19" t="n">
        <v>6</v>
      </c>
      <c r="P87" s="19" t="n">
        <v>7</v>
      </c>
      <c r="Q87" s="19" t="n">
        <v>8</v>
      </c>
      <c r="R87" s="19" t="n">
        <v>9</v>
      </c>
      <c r="S87" s="18" t="s">
        <v>11</v>
      </c>
      <c r="V87" s="12" t="s">
        <v>11</v>
      </c>
      <c r="W87" s="15" t="n">
        <f aca="false">1/AA83</f>
        <v>0.142857142857143</v>
      </c>
      <c r="X87" s="15" t="n">
        <f aca="false">1/AA84</f>
        <v>0.142857142857143</v>
      </c>
      <c r="Y87" s="15" t="n">
        <v>1</v>
      </c>
      <c r="Z87" s="15" t="n">
        <f aca="false">1/AA86</f>
        <v>0.2</v>
      </c>
      <c r="AA87" s="14" t="n">
        <v>1</v>
      </c>
    </row>
    <row r="88" customFormat="false" ht="14.25" hidden="false" customHeight="false" outlineLevel="0" collapsed="false">
      <c r="A88" s="18" t="s">
        <v>8</v>
      </c>
      <c r="B88" s="19" t="n">
        <v>9</v>
      </c>
      <c r="C88" s="19" t="n">
        <v>8</v>
      </c>
      <c r="D88" s="19" t="n">
        <v>7</v>
      </c>
      <c r="E88" s="19" t="n">
        <v>6</v>
      </c>
      <c r="F88" s="19" t="n">
        <v>5</v>
      </c>
      <c r="G88" s="19" t="n">
        <v>4</v>
      </c>
      <c r="H88" s="19" t="n">
        <v>3</v>
      </c>
      <c r="I88" s="19" t="n">
        <v>2</v>
      </c>
      <c r="J88" s="21" t="n">
        <v>1</v>
      </c>
      <c r="K88" s="19" t="n">
        <v>2</v>
      </c>
      <c r="L88" s="19" t="n">
        <v>3</v>
      </c>
      <c r="M88" s="19" t="n">
        <v>4</v>
      </c>
      <c r="N88" s="19" t="n">
        <v>5</v>
      </c>
      <c r="O88" s="19" t="n">
        <v>6</v>
      </c>
      <c r="P88" s="20" t="n">
        <v>7</v>
      </c>
      <c r="Q88" s="19" t="n">
        <v>8</v>
      </c>
      <c r="R88" s="19" t="n">
        <v>9</v>
      </c>
      <c r="S88" s="18" t="s">
        <v>9</v>
      </c>
      <c r="V88" s="12"/>
      <c r="W88" s="15"/>
      <c r="X88" s="15"/>
      <c r="Y88" s="15"/>
      <c r="Z88" s="15"/>
      <c r="AA88" s="15"/>
    </row>
    <row r="89" customFormat="false" ht="14.25" hidden="false" customHeight="false" outlineLevel="0" collapsed="false">
      <c r="A89" s="18" t="s">
        <v>8</v>
      </c>
      <c r="B89" s="19" t="n">
        <v>9</v>
      </c>
      <c r="C89" s="19" t="n">
        <v>8</v>
      </c>
      <c r="D89" s="19" t="n">
        <v>7</v>
      </c>
      <c r="E89" s="19" t="n">
        <v>6</v>
      </c>
      <c r="F89" s="19" t="n">
        <v>5</v>
      </c>
      <c r="G89" s="19" t="n">
        <v>4</v>
      </c>
      <c r="H89" s="19" t="n">
        <v>3</v>
      </c>
      <c r="I89" s="19" t="n">
        <v>2</v>
      </c>
      <c r="J89" s="21" t="n">
        <v>1</v>
      </c>
      <c r="K89" s="19" t="n">
        <v>2</v>
      </c>
      <c r="L89" s="19" t="n">
        <v>3</v>
      </c>
      <c r="M89" s="19" t="n">
        <v>4</v>
      </c>
      <c r="N89" s="19" t="n">
        <v>5</v>
      </c>
      <c r="O89" s="19" t="n">
        <v>6</v>
      </c>
      <c r="P89" s="20" t="n">
        <v>7</v>
      </c>
      <c r="Q89" s="19" t="n">
        <v>8</v>
      </c>
      <c r="R89" s="19" t="n">
        <v>9</v>
      </c>
      <c r="S89" s="18" t="s">
        <v>10</v>
      </c>
      <c r="V89" s="22"/>
      <c r="W89" s="23"/>
      <c r="X89" s="23"/>
      <c r="Y89" s="23"/>
      <c r="Z89" s="23"/>
      <c r="AA89" s="23"/>
    </row>
    <row r="90" customFormat="false" ht="14.25" hidden="false" customHeight="false" outlineLevel="0" collapsed="false">
      <c r="A90" s="18" t="s">
        <v>8</v>
      </c>
      <c r="B90" s="19" t="n">
        <v>9</v>
      </c>
      <c r="C90" s="19" t="n">
        <v>8</v>
      </c>
      <c r="D90" s="20" t="n">
        <v>7</v>
      </c>
      <c r="E90" s="19" t="n">
        <v>6</v>
      </c>
      <c r="F90" s="19" t="n">
        <v>5</v>
      </c>
      <c r="G90" s="19" t="n">
        <v>4</v>
      </c>
      <c r="H90" s="19" t="n">
        <v>3</v>
      </c>
      <c r="I90" s="19" t="n">
        <v>2</v>
      </c>
      <c r="J90" s="21" t="n">
        <v>1</v>
      </c>
      <c r="K90" s="19" t="n">
        <v>2</v>
      </c>
      <c r="L90" s="19" t="n">
        <v>3</v>
      </c>
      <c r="M90" s="19" t="n">
        <v>4</v>
      </c>
      <c r="N90" s="19" t="n">
        <v>5</v>
      </c>
      <c r="O90" s="19" t="n">
        <v>6</v>
      </c>
      <c r="P90" s="19" t="n">
        <v>7</v>
      </c>
      <c r="Q90" s="19" t="n">
        <v>8</v>
      </c>
      <c r="R90" s="19" t="n">
        <v>9</v>
      </c>
      <c r="S90" s="18" t="s">
        <v>11</v>
      </c>
    </row>
    <row r="91" customFormat="false" ht="14.25" hidden="false" customHeight="false" outlineLevel="0" collapsed="false">
      <c r="A91" s="18" t="s">
        <v>9</v>
      </c>
      <c r="B91" s="19" t="n">
        <v>9</v>
      </c>
      <c r="C91" s="19" t="n">
        <v>8</v>
      </c>
      <c r="D91" s="19" t="n">
        <v>7</v>
      </c>
      <c r="E91" s="19" t="n">
        <v>6</v>
      </c>
      <c r="F91" s="19" t="n">
        <v>5</v>
      </c>
      <c r="G91" s="19" t="n">
        <v>4</v>
      </c>
      <c r="H91" s="19" t="n">
        <v>3</v>
      </c>
      <c r="I91" s="19" t="n">
        <v>2</v>
      </c>
      <c r="J91" s="48" t="n">
        <v>1</v>
      </c>
      <c r="K91" s="19" t="n">
        <v>2</v>
      </c>
      <c r="L91" s="19" t="n">
        <v>3</v>
      </c>
      <c r="M91" s="19" t="n">
        <v>4</v>
      </c>
      <c r="N91" s="19" t="n">
        <v>5</v>
      </c>
      <c r="O91" s="19" t="n">
        <v>6</v>
      </c>
      <c r="P91" s="19" t="n">
        <v>7</v>
      </c>
      <c r="Q91" s="19" t="n">
        <v>8</v>
      </c>
      <c r="R91" s="19" t="n">
        <v>9</v>
      </c>
      <c r="S91" s="18" t="s">
        <v>10</v>
      </c>
    </row>
    <row r="92" customFormat="false" ht="14.25" hidden="false" customHeight="false" outlineLevel="0" collapsed="false">
      <c r="A92" s="18" t="s">
        <v>9</v>
      </c>
      <c r="B92" s="19" t="n">
        <v>9</v>
      </c>
      <c r="C92" s="19" t="n">
        <v>8</v>
      </c>
      <c r="D92" s="19" t="n">
        <v>7</v>
      </c>
      <c r="E92" s="19" t="n">
        <v>6</v>
      </c>
      <c r="F92" s="19" t="n">
        <v>5</v>
      </c>
      <c r="G92" s="19" t="n">
        <v>4</v>
      </c>
      <c r="H92" s="19" t="n">
        <v>3</v>
      </c>
      <c r="I92" s="19" t="n">
        <v>2</v>
      </c>
      <c r="J92" s="48" t="n">
        <v>1</v>
      </c>
      <c r="K92" s="19" t="n">
        <v>2</v>
      </c>
      <c r="L92" s="19" t="n">
        <v>3</v>
      </c>
      <c r="M92" s="19" t="n">
        <v>4</v>
      </c>
      <c r="N92" s="19" t="n">
        <v>5</v>
      </c>
      <c r="O92" s="19" t="n">
        <v>6</v>
      </c>
      <c r="P92" s="19" t="n">
        <v>7</v>
      </c>
      <c r="Q92" s="19" t="n">
        <v>8</v>
      </c>
      <c r="R92" s="19" t="n">
        <v>9</v>
      </c>
      <c r="S92" s="18" t="s">
        <v>11</v>
      </c>
    </row>
    <row r="93" customFormat="false" ht="14.25" hidden="false" customHeight="false" outlineLevel="0" collapsed="false">
      <c r="A93" s="18" t="s">
        <v>10</v>
      </c>
      <c r="B93" s="19" t="n">
        <v>9</v>
      </c>
      <c r="C93" s="19" t="n">
        <v>8</v>
      </c>
      <c r="D93" s="19" t="n">
        <v>7</v>
      </c>
      <c r="E93" s="19" t="n">
        <v>6</v>
      </c>
      <c r="F93" s="20" t="n">
        <v>5</v>
      </c>
      <c r="G93" s="19" t="n">
        <v>4</v>
      </c>
      <c r="H93" s="19" t="n">
        <v>3</v>
      </c>
      <c r="I93" s="19" t="n">
        <v>2</v>
      </c>
      <c r="J93" s="21" t="n">
        <v>1</v>
      </c>
      <c r="K93" s="19" t="n">
        <v>2</v>
      </c>
      <c r="L93" s="19" t="n">
        <v>3</v>
      </c>
      <c r="M93" s="19" t="n">
        <v>4</v>
      </c>
      <c r="N93" s="19" t="n">
        <v>5</v>
      </c>
      <c r="O93" s="19" t="n">
        <v>6</v>
      </c>
      <c r="P93" s="19" t="n">
        <v>7</v>
      </c>
      <c r="Q93" s="19" t="n">
        <v>8</v>
      </c>
      <c r="R93" s="19" t="n">
        <v>9</v>
      </c>
      <c r="S93" s="18" t="s">
        <v>11</v>
      </c>
    </row>
    <row r="94" customFormat="false" ht="14.25" hidden="false" customHeight="fals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18"/>
      <c r="P94" s="18"/>
      <c r="Q94" s="18"/>
      <c r="R94" s="18"/>
      <c r="S94" s="18"/>
    </row>
    <row r="95" customFormat="false" ht="14.25" hidden="false" customHeight="fals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/>
      <c r="O95" s="18"/>
      <c r="P95" s="18"/>
      <c r="Q95" s="18"/>
      <c r="R95" s="18"/>
      <c r="S95" s="18"/>
    </row>
    <row r="96" customFormat="false" ht="14.25" hidden="false" customHeight="fals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20"/>
      <c r="N96" s="18"/>
      <c r="O96" s="18"/>
      <c r="P96" s="18"/>
      <c r="Q96" s="18"/>
      <c r="R96" s="18"/>
      <c r="S96" s="18"/>
    </row>
    <row r="97" customFormat="false" ht="14.25" hidden="false" customHeight="fals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20"/>
      <c r="N97" s="18"/>
      <c r="O97" s="18"/>
      <c r="P97" s="18"/>
      <c r="Q97" s="18"/>
      <c r="R97" s="18"/>
      <c r="S97" s="18"/>
    </row>
    <row r="98" customFormat="false" ht="14.25" hidden="false" customHeight="fals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0"/>
      <c r="O98" s="18"/>
      <c r="P98" s="18"/>
      <c r="Q98" s="18"/>
      <c r="R98" s="18"/>
      <c r="S98" s="18"/>
    </row>
  </sheetData>
  <mergeCells count="12">
    <mergeCell ref="A3:S3"/>
    <mergeCell ref="B4:R4"/>
    <mergeCell ref="AJ9:AO9"/>
    <mergeCell ref="A22:S22"/>
    <mergeCell ref="B23:R23"/>
    <mergeCell ref="AC37:AD37"/>
    <mergeCell ref="A42:S42"/>
    <mergeCell ref="B43:R43"/>
    <mergeCell ref="A62:S62"/>
    <mergeCell ref="B63:R63"/>
    <mergeCell ref="A82:S82"/>
    <mergeCell ref="B83:R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49" t="s">
        <v>37</v>
      </c>
    </row>
    <row r="3" customFormat="false" ht="15" hidden="false" customHeight="false" outlineLevel="0" collapsed="false">
      <c r="A3" s="50" t="s">
        <v>6</v>
      </c>
      <c r="B3" s="50" t="s">
        <v>38</v>
      </c>
      <c r="C3" s="50"/>
      <c r="D3" s="50"/>
      <c r="E3" s="50"/>
      <c r="F3" s="50"/>
      <c r="G3" s="50"/>
      <c r="H3" s="50"/>
      <c r="I3" s="50"/>
      <c r="J3" s="50"/>
    </row>
    <row r="4" customFormat="false" ht="15" hidden="false" customHeight="false" outlineLevel="0" collapsed="false">
      <c r="A4" s="0" t="s">
        <v>7</v>
      </c>
      <c r="B4" s="26" t="n">
        <f aca="false">AHP!AP4</f>
        <v>0.385533062761712</v>
      </c>
    </row>
    <row r="5" customFormat="false" ht="15" hidden="false" customHeight="false" outlineLevel="0" collapsed="false">
      <c r="A5" s="0" t="s">
        <v>8</v>
      </c>
      <c r="B5" s="26" t="n">
        <f aca="false">AHP!AP5</f>
        <v>0.100105879601795</v>
      </c>
    </row>
    <row r="6" customFormat="false" ht="15" hidden="false" customHeight="false" outlineLevel="0" collapsed="false">
      <c r="A6" s="0" t="s">
        <v>9</v>
      </c>
      <c r="B6" s="26" t="n">
        <f aca="false">AHP!AP6</f>
        <v>0.196660725463559</v>
      </c>
    </row>
    <row r="7" customFormat="false" ht="15" hidden="false" customHeight="false" outlineLevel="0" collapsed="false">
      <c r="A7" s="0" t="s">
        <v>10</v>
      </c>
      <c r="B7" s="26" t="n">
        <f aca="false">AHP!AP7</f>
        <v>0.244383579427147</v>
      </c>
    </row>
    <row r="8" customFormat="false" ht="15" hidden="false" customHeight="false" outlineLevel="0" collapsed="false">
      <c r="A8" s="0" t="s">
        <v>11</v>
      </c>
      <c r="B8" s="26" t="n">
        <f aca="false">AHP!AP8</f>
        <v>0.0733167527457868</v>
      </c>
    </row>
    <row r="9" customFormat="false" ht="15" hidden="false" customHeight="false" outlineLevel="0" collapsed="false">
      <c r="A9" s="0" t="s">
        <v>16</v>
      </c>
      <c r="B9" s="0" t="n">
        <f aca="false">SUM(B4:B8)</f>
        <v>1</v>
      </c>
    </row>
    <row r="11" customFormat="false" ht="15" hidden="false" customHeight="false" outlineLevel="0" collapsed="false">
      <c r="A11" s="0" t="s">
        <v>20</v>
      </c>
      <c r="B11" s="0" t="n">
        <f aca="false">AHP!AY12</f>
        <v>5.2615060801017</v>
      </c>
    </row>
    <row r="12" customFormat="false" ht="15" hidden="false" customHeight="false" outlineLevel="0" collapsed="false">
      <c r="A12" s="0" t="s">
        <v>21</v>
      </c>
      <c r="B12" s="0" t="n">
        <f aca="false">AHP!AY13</f>
        <v>0.0653765200254259</v>
      </c>
    </row>
    <row r="13" customFormat="false" ht="15" hidden="false" customHeight="false" outlineLevel="0" collapsed="false">
      <c r="A13" s="0" t="s">
        <v>39</v>
      </c>
      <c r="B13" s="0" t="n">
        <f aca="false">AHP!AY15</f>
        <v>0.0583718928798446</v>
      </c>
    </row>
    <row r="14" customFormat="false" ht="15" hidden="false" customHeight="false" outlineLevel="0" collapsed="false">
      <c r="A14" s="0" t="s">
        <v>40</v>
      </c>
      <c r="B14" s="0" t="str">
        <f aca="false">IF(AHP!AY15&lt;0.1,"konsisten","tidak konsisten")</f>
        <v>konsisten</v>
      </c>
    </row>
    <row r="16" customFormat="false" ht="15" hidden="false" customHeight="false" outlineLevel="0" collapsed="false">
      <c r="A16" s="50" t="s">
        <v>41</v>
      </c>
    </row>
    <row r="17" customFormat="false" ht="15" hidden="false" customHeight="false" outlineLevel="0" collapsed="false">
      <c r="A17" s="50" t="s">
        <v>42</v>
      </c>
      <c r="B17" s="50" t="s">
        <v>7</v>
      </c>
      <c r="C17" s="50" t="s">
        <v>8</v>
      </c>
      <c r="D17" s="50" t="s">
        <v>9</v>
      </c>
      <c r="E17" s="50" t="s">
        <v>10</v>
      </c>
      <c r="F17" s="50" t="s">
        <v>11</v>
      </c>
      <c r="G17" s="50" t="s">
        <v>20</v>
      </c>
      <c r="H17" s="50" t="s">
        <v>21</v>
      </c>
      <c r="I17" s="50" t="s">
        <v>25</v>
      </c>
      <c r="J17" s="50" t="s">
        <v>40</v>
      </c>
    </row>
    <row r="18" customFormat="false" ht="15" hidden="false" customHeight="false" outlineLevel="0" collapsed="false">
      <c r="A18" s="0" t="s">
        <v>3</v>
      </c>
      <c r="B18" s="0" t="n">
        <v>0.5272</v>
      </c>
      <c r="C18" s="0" t="n">
        <v>0.1331</v>
      </c>
      <c r="D18" s="0" t="n">
        <v>0.1522</v>
      </c>
      <c r="E18" s="0" t="n">
        <v>0.154</v>
      </c>
      <c r="F18" s="0" t="n">
        <v>0.0337</v>
      </c>
      <c r="G18" s="0" t="n">
        <v>6.5351</v>
      </c>
      <c r="H18" s="0" t="n">
        <v>0.3838</v>
      </c>
      <c r="I18" s="0" t="n">
        <v>0.343</v>
      </c>
      <c r="J18" s="0" t="s">
        <v>43</v>
      </c>
    </row>
    <row r="19" customFormat="false" ht="15" hidden="false" customHeight="false" outlineLevel="0" collapsed="false">
      <c r="A19" s="0" t="s">
        <v>30</v>
      </c>
      <c r="B19" s="0" t="n">
        <v>0.4146</v>
      </c>
      <c r="C19" s="0" t="n">
        <v>0.0983</v>
      </c>
      <c r="D19" s="0" t="n">
        <v>0.0618</v>
      </c>
      <c r="E19" s="0" t="n">
        <v>0.2088</v>
      </c>
      <c r="F19" s="0" t="n">
        <v>0.2164</v>
      </c>
      <c r="G19" s="0" t="n">
        <v>5.1954</v>
      </c>
      <c r="H19" s="0" t="n">
        <v>0.0489</v>
      </c>
      <c r="I19" s="0" t="n">
        <v>0.044</v>
      </c>
      <c r="J19" s="0" t="s">
        <v>27</v>
      </c>
    </row>
    <row r="20" customFormat="false" ht="15" hidden="false" customHeight="false" outlineLevel="0" collapsed="false">
      <c r="A20" s="0" t="s">
        <v>32</v>
      </c>
      <c r="B20" s="0" t="n">
        <v>0.4648</v>
      </c>
      <c r="C20" s="0" t="n">
        <v>0.0678</v>
      </c>
      <c r="D20" s="0" t="n">
        <v>0.2643</v>
      </c>
      <c r="E20" s="0" t="n">
        <v>0.1608</v>
      </c>
      <c r="F20" s="0" t="n">
        <v>0.0423</v>
      </c>
      <c r="G20" s="0" t="n">
        <v>5.5422</v>
      </c>
      <c r="H20" s="0" t="n">
        <v>0.1356</v>
      </c>
      <c r="I20" s="0" t="n">
        <v>0.121</v>
      </c>
      <c r="J20" s="0" t="s">
        <v>43</v>
      </c>
    </row>
    <row r="21" customFormat="false" ht="15" hidden="false" customHeight="false" outlineLevel="0" collapsed="false">
      <c r="A21" s="0" t="s">
        <v>34</v>
      </c>
      <c r="B21" s="0" t="n">
        <v>0.224</v>
      </c>
      <c r="C21" s="0" t="n">
        <v>0.0343</v>
      </c>
      <c r="D21" s="0" t="n">
        <v>0.26</v>
      </c>
      <c r="E21" s="0" t="n">
        <v>0.4198</v>
      </c>
      <c r="F21" s="0" t="n">
        <v>0.062</v>
      </c>
      <c r="G21" s="0" t="n">
        <v>6.1189</v>
      </c>
      <c r="H21" s="0" t="n">
        <v>0.2797</v>
      </c>
      <c r="I21" s="0" t="n">
        <v>0.25</v>
      </c>
      <c r="J21" s="0" t="s">
        <v>43</v>
      </c>
    </row>
    <row r="22" customFormat="false" ht="15" hidden="false" customHeight="false" outlineLevel="0" collapsed="false">
      <c r="A22" s="0" t="s">
        <v>36</v>
      </c>
      <c r="B22" s="0" t="n">
        <v>0.2533</v>
      </c>
      <c r="C22" s="0" t="n">
        <v>0.1884</v>
      </c>
      <c r="D22" s="0" t="n">
        <v>0.2589</v>
      </c>
      <c r="E22" s="0" t="n">
        <v>0.222</v>
      </c>
      <c r="F22" s="0" t="n">
        <v>0.0774</v>
      </c>
      <c r="G22" s="0" t="n">
        <v>9.5103</v>
      </c>
      <c r="H22" s="0" t="n">
        <v>1.1276</v>
      </c>
      <c r="I22" s="0" t="n">
        <v>1.007</v>
      </c>
      <c r="J22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51" t="s">
        <v>44</v>
      </c>
    </row>
    <row r="2" customFormat="false" ht="28.35" hidden="false" customHeight="false" outlineLevel="0" collapsed="false">
      <c r="A2" s="51" t="s">
        <v>45</v>
      </c>
    </row>
    <row r="3" customFormat="false" ht="15" hidden="false" customHeight="false" outlineLevel="0" collapsed="false">
      <c r="A3" s="51" t="s">
        <v>46</v>
      </c>
    </row>
    <row r="4" customFormat="false" ht="15" hidden="false" customHeight="false" outlineLevel="0" collapsed="false">
      <c r="A4" s="51" t="s">
        <v>47</v>
      </c>
    </row>
    <row r="5" customFormat="false" ht="15" hidden="false" customHeight="false" outlineLevel="0" collapsed="false">
      <c r="A5" s="51" t="s">
        <v>48</v>
      </c>
    </row>
    <row r="6" customFormat="false" ht="15" hidden="false" customHeight="false" outlineLevel="0" collapsed="false">
      <c r="A6" s="5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2026-10-08T15:01:21Z</dcterms:created>
  <dc:creator>Najwa Putri Aulia</dc:creator>
  <dc:description/>
  <dc:language>en-US</dc:language>
  <cp:lastModifiedBy>Najwa Putri Aulia</cp:lastModifiedBy>
  <dcterms:modified xsi:type="dcterms:W3CDTF">2026-10-12T08:18:29Z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